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 Overview" sheetId="1" state="visible" r:id="rId3"/>
    <sheet name="Financial Summary" sheetId="2" state="visible" r:id="rId4"/>
    <sheet name="Balance Sheet &amp; Ratios" sheetId="3" state="visible" r:id="rId5"/>
    <sheet name="Cash Flow Analysis" sheetId="4" state="visible" r:id="rId6"/>
    <sheet name="Risk Assessment" sheetId="5" state="visible" r:id="rId7"/>
    <sheet name="Overall Risk Ratin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<sst xmlns="http://schemas.openxmlformats.org/spreadsheetml/2006/main" count="347" uniqueCount="328">
  <si>
    <t xml:space="preserve">SAVE RISK FILE — ABHA POWER AND STEEL LIMITED</t>
  </si>
  <si>
    <t xml:space="preserve">Systematic Assessment and Validation of Enterprise Risk  |  FY 2024-25</t>
  </si>
  <si>
    <t xml:space="preserve">1. ENTITY IDENTIFICATION</t>
  </si>
  <si>
    <t xml:space="preserve">Company Name</t>
  </si>
  <si>
    <t xml:space="preserve">Abha Power and Steel Limited (formerly Abha Power and Steel Private Limited)</t>
  </si>
  <si>
    <t xml:space="preserve">CIN</t>
  </si>
  <si>
    <t xml:space="preserve">L27102CT2004PLC016654</t>
  </si>
  <si>
    <t xml:space="preserve">ISIN</t>
  </si>
  <si>
    <t xml:space="preserve">INE0UYG01015</t>
  </si>
  <si>
    <t xml:space="preserve">Date of Incorporation</t>
  </si>
  <si>
    <t xml:space="preserve">May 27, 2004 (converted to Public Limited on June 5, 2024)</t>
  </si>
  <si>
    <t xml:space="preserve">State / Registrar</t>
  </si>
  <si>
    <t xml:space="preserve">Chhattisgarh, India (Registrar of Companies, Chhattisgarh)</t>
  </si>
  <si>
    <t xml:space="preserve">Registered Office</t>
  </si>
  <si>
    <t xml:space="preserve">Silpahri Industrial State, Bilaspur - 495001, Chhattisgarh</t>
  </si>
  <si>
    <t xml:space="preserve">Industry / Sector</t>
  </si>
  <si>
    <t xml:space="preserve">Iron &amp; Steel Castings / Foundry (Capital Goods - Manufacturing)</t>
  </si>
  <si>
    <t xml:space="preserve">Installed Capacity</t>
  </si>
  <si>
    <t xml:space="preserve">14,400 MT p.a. (SG Iron Foundry 7,200 MT + Steel Foundry 7,200 MT)</t>
  </si>
  <si>
    <t xml:space="preserve">Stock Exchange / Listing</t>
  </si>
  <si>
    <t xml:space="preserve">NSE Emerge (SME Platform); listed December 4, 2024</t>
  </si>
  <si>
    <t xml:space="preserve">Fiscal Year End</t>
  </si>
  <si>
    <t xml:space="preserve">March 31</t>
  </si>
  <si>
    <t xml:space="preserve">Statutory Auditor</t>
  </si>
  <si>
    <t xml:space="preserve">M/s N B T &amp; Co., Chartered Accountants, Mumbai (FRN 140489W)</t>
  </si>
  <si>
    <t xml:space="preserve">Audit Opinion</t>
  </si>
  <si>
    <t xml:space="preserve">Unqualified (True &amp; Fair)</t>
  </si>
  <si>
    <t xml:space="preserve">Internal Auditor</t>
  </si>
  <si>
    <t xml:space="preserve">M/s Sushil &amp; Surendra, Chartered Accountants (FRN 0003929C)</t>
  </si>
  <si>
    <t xml:space="preserve">Secretarial Auditor</t>
  </si>
  <si>
    <t xml:space="preserve">CS Abbas Vithorawala (M.No. A23671, CP No. 8827)</t>
  </si>
  <si>
    <t xml:space="preserve">Bankers</t>
  </si>
  <si>
    <t xml:space="preserve">SIDBI; ICICI Bank Limited</t>
  </si>
  <si>
    <t xml:space="preserve">Credit Rating</t>
  </si>
  <si>
    <t xml:space="preserve">Not Rated / Not Disclosed</t>
  </si>
  <si>
    <t xml:space="preserve">Assessment Date</t>
  </si>
  <si>
    <t xml:space="preserve">March 31, 2025 (FY 2024-25)</t>
  </si>
  <si>
    <t xml:space="preserve">2. KEY MANAGEMENT PERSONNEL</t>
  </si>
  <si>
    <t xml:space="preserve">Name</t>
  </si>
  <si>
    <t xml:space="preserve">Designation</t>
  </si>
  <si>
    <t xml:space="preserve">DIN / Status</t>
  </si>
  <si>
    <t xml:space="preserve">Atish Agrawal</t>
  </si>
  <si>
    <t xml:space="preserve">Managing Director &amp; Promoter</t>
  </si>
  <si>
    <t xml:space="preserve">DIN 03540841</t>
  </si>
  <si>
    <t xml:space="preserve">Satish Kumar Shah</t>
  </si>
  <si>
    <t xml:space="preserve">Whole-time Director &amp; Promoter</t>
  </si>
  <si>
    <t xml:space="preserve">DIN 02324456</t>
  </si>
  <si>
    <t xml:space="preserve">Subhash Chand Agrawal</t>
  </si>
  <si>
    <t xml:space="preserve">Non-Executive Non-Independent Director &amp; Promoter</t>
  </si>
  <si>
    <t xml:space="preserve">DIN 01644038</t>
  </si>
  <si>
    <t xml:space="preserve">Naleen Shah</t>
  </si>
  <si>
    <t xml:space="preserve">Chief Financial Officer (since 01.04.2024)</t>
  </si>
  <si>
    <t xml:space="preserve">KMP</t>
  </si>
  <si>
    <t xml:space="preserve">Pratibha Patel</t>
  </si>
  <si>
    <t xml:space="preserve">Company Secretary &amp; Compliance Officer</t>
  </si>
  <si>
    <t xml:space="preserve">KMP (M.No. A73052)</t>
  </si>
  <si>
    <t xml:space="preserve">Pankaj Jhawar</t>
  </si>
  <si>
    <t xml:space="preserve">Independent Director</t>
  </si>
  <si>
    <t xml:space="preserve">DIN 01571775</t>
  </si>
  <si>
    <t xml:space="preserve">Shristi Garg</t>
  </si>
  <si>
    <t xml:space="preserve">DIN 07711088</t>
  </si>
  <si>
    <t xml:space="preserve">Shanky Santani</t>
  </si>
  <si>
    <t xml:space="preserve">Independent Director (w.e.f. 29.05.2025)</t>
  </si>
  <si>
    <t xml:space="preserve">DIN 10949071</t>
  </si>
  <si>
    <t xml:space="preserve">3. GROUP STRUCTURE / RELATED ENTITIES</t>
  </si>
  <si>
    <t xml:space="preserve">The Company has NO subsidiary, joint venture or associate company. Principal promoters and &gt;5% shareholders / related entities are listed below.</t>
  </si>
  <si>
    <t xml:space="preserve">Entity / Person</t>
  </si>
  <si>
    <t xml:space="preserve">Relationship</t>
  </si>
  <si>
    <t xml:space="preserve">Holding %</t>
  </si>
  <si>
    <t xml:space="preserve">Sunflower Commotrade Pvt Ltd</t>
  </si>
  <si>
    <t xml:space="preserve">Promoter Group / Corporate Guarantor</t>
  </si>
  <si>
    <t xml:space="preserve">29.20%</t>
  </si>
  <si>
    <t xml:space="preserve">Mr. Subhash Chandra Agarwal</t>
  </si>
  <si>
    <t xml:space="preserve">Promoter / Director</t>
  </si>
  <si>
    <t xml:space="preserve">9.72%</t>
  </si>
  <si>
    <t xml:space="preserve">Mr. Harish Shah</t>
  </si>
  <si>
    <t xml:space="preserve">Promoter Group</t>
  </si>
  <si>
    <t xml:space="preserve">7.43%</t>
  </si>
  <si>
    <t xml:space="preserve">Mr. G K Shah</t>
  </si>
  <si>
    <t xml:space="preserve">6.66%</t>
  </si>
  <si>
    <t xml:space="preserve">Mr. Satish Shah</t>
  </si>
  <si>
    <t xml:space="preserve">5.38%</t>
  </si>
  <si>
    <t xml:space="preserve">Mr. Ankit Agrawal</t>
  </si>
  <si>
    <t xml:space="preserve">5.27%</t>
  </si>
  <si>
    <t xml:space="preserve">FINANCIAL SUMMARY (All figures in INR Lakhs unless stated)</t>
  </si>
  <si>
    <t xml:space="preserve">A. STATEMENT OF PROFIT &amp; LOSS (INR Lakhs)</t>
  </si>
  <si>
    <t xml:space="preserve">Particulars</t>
  </si>
  <si>
    <t xml:space="preserve">FY 2024-25</t>
  </si>
  <si>
    <t xml:space="preserve">FY 2023-24</t>
  </si>
  <si>
    <t xml:space="preserve">YoY Change</t>
  </si>
  <si>
    <t xml:space="preserve">Revenue from Operations</t>
  </si>
  <si>
    <t xml:space="preserve">Other Income</t>
  </si>
  <si>
    <t xml:space="preserve">Total Income</t>
  </si>
  <si>
    <t xml:space="preserve">Cost of Raw Materials Consumed</t>
  </si>
  <si>
    <t xml:space="preserve">Changes in Inventories (FG / WIP / Consumables)</t>
  </si>
  <si>
    <t xml:space="preserve">-</t>
  </si>
  <si>
    <t xml:space="preserve">Employee Benefit Expenses</t>
  </si>
  <si>
    <t xml:space="preserve">Finance Cost</t>
  </si>
  <si>
    <t xml:space="preserve">Depreciation &amp; Amortization</t>
  </si>
  <si>
    <t xml:space="preserve">Other Expenses</t>
  </si>
  <si>
    <t xml:space="preserve">Total Expenses</t>
  </si>
  <si>
    <t xml:space="preserve">Profit Before Tax</t>
  </si>
  <si>
    <t xml:space="preserve">Tax Expense</t>
  </si>
  <si>
    <t xml:space="preserve">Profit After Tax (PAT)</t>
  </si>
  <si>
    <t xml:space="preserve">Earnings Per Share - Basic &amp; Diluted (INR)</t>
  </si>
  <si>
    <t xml:space="preserve">EBITDA (PBT + Finance Cost + Depreciation - Other Income)</t>
  </si>
  <si>
    <t xml:space="preserve">B. FIVE-YEAR PERFORMANCE TREND (Source: Annual Report performance highlights)</t>
  </si>
  <si>
    <t xml:space="preserve">Metric</t>
  </si>
  <si>
    <t xml:space="preserve">FY25</t>
  </si>
  <si>
    <t xml:space="preserve">FY24</t>
  </si>
  <si>
    <t xml:space="preserve">FY23</t>
  </si>
  <si>
    <t xml:space="preserve">Revenue from Operations (INR Cr)</t>
  </si>
  <si>
    <t xml:space="preserve">EBITDA Margin (%)</t>
  </si>
  <si>
    <t xml:space="preserve">PAT Margin (%)</t>
  </si>
  <si>
    <t xml:space="preserve">Total Sales Volume (MT)</t>
  </si>
  <si>
    <t xml:space="preserve">C. MARGIN &amp; PROFITABILITY ANALYSIS (derived from Statement of P&amp;L above)</t>
  </si>
  <si>
    <t xml:space="preserve">Trend</t>
  </si>
  <si>
    <t xml:space="preserve">Gross Profit (INR Lakhs)</t>
  </si>
  <si>
    <t xml:space="preserve">Gross Margin (%)</t>
  </si>
  <si>
    <t xml:space="preserve">EBITDA / Operating Margin (%)</t>
  </si>
  <si>
    <t xml:space="preserve">Net Profit (PAT) Margin (%)</t>
  </si>
  <si>
    <t xml:space="preserve">Effective Tax Rate (%)</t>
  </si>
  <si>
    <t xml:space="preserve">BALANCE SHEET &amp; KEY RATIOS (INR Lakhs)</t>
  </si>
  <si>
    <t xml:space="preserve">A. BALANCE SHEET EXTRACT (INR Lakhs)</t>
  </si>
  <si>
    <t xml:space="preserve">31-Mar-2025</t>
  </si>
  <si>
    <t xml:space="preserve">31-Mar-2024</t>
  </si>
  <si>
    <t xml:space="preserve">Change</t>
  </si>
  <si>
    <t xml:space="preserve">% Change</t>
  </si>
  <si>
    <t xml:space="preserve">EQUITY &amp; LIABILITIES</t>
  </si>
  <si>
    <t xml:space="preserve">Share Capital</t>
  </si>
  <si>
    <t xml:space="preserve">Reserves &amp; Surplus</t>
  </si>
  <si>
    <t xml:space="preserve">Long-term Borrowings</t>
  </si>
  <si>
    <t xml:space="preserve">Deferred Tax Liabilities (net)</t>
  </si>
  <si>
    <t xml:space="preserve">Long-term Provisions</t>
  </si>
  <si>
    <t xml:space="preserve">Short-term Borrowings</t>
  </si>
  <si>
    <t xml:space="preserve">Trade Payables</t>
  </si>
  <si>
    <t xml:space="preserve">Other Current Liabilities</t>
  </si>
  <si>
    <t xml:space="preserve">Short-term Provisions</t>
  </si>
  <si>
    <t xml:space="preserve">Total Equity &amp; Liabilities</t>
  </si>
  <si>
    <t xml:space="preserve">ASSETS</t>
  </si>
  <si>
    <t xml:space="preserve">Property, Plant &amp; Equipment (Tangible)</t>
  </si>
  <si>
    <t xml:space="preserve">Capital Work-in-Progress</t>
  </si>
  <si>
    <t xml:space="preserve">Other Non-Current Assets</t>
  </si>
  <si>
    <t xml:space="preserve">Inventories</t>
  </si>
  <si>
    <t xml:space="preserve">Trade Receivables</t>
  </si>
  <si>
    <t xml:space="preserve">Cash &amp; Bank Balances</t>
  </si>
  <si>
    <t xml:space="preserve">Short-term Loans &amp; Advances</t>
  </si>
  <si>
    <t xml:space="preserve">Total Assets</t>
  </si>
  <si>
    <t xml:space="preserve">B. KEY FINANCIAL RATIOS (Source: Audited Note 32 &amp; MD&amp;A Ratio Disclosure)</t>
  </si>
  <si>
    <t xml:space="preserve">Ratio</t>
  </si>
  <si>
    <t xml:space="preserve">Benchmark</t>
  </si>
  <si>
    <t xml:space="preserve">Status / Remark</t>
  </si>
  <si>
    <t xml:space="preserve">Current Ratio</t>
  </si>
  <si>
    <t xml:space="preserve">&gt; 1.50</t>
  </si>
  <si>
    <t xml:space="preserve">HEALTHY — Strong liquidity; lifted by IPO proceeds</t>
  </si>
  <si>
    <t xml:space="preserve">Debt-Equity Ratio</t>
  </si>
  <si>
    <t xml:space="preserve">&lt; 1.00</t>
  </si>
  <si>
    <t xml:space="preserve">HEALTHY — De-levered post-IPO from 1.35</t>
  </si>
  <si>
    <t xml:space="preserve">Interest Coverage Ratio</t>
  </si>
  <si>
    <t xml:space="preserve">&gt; 3.00</t>
  </si>
  <si>
    <t xml:space="preserve">HEALTHY — Improved on higher profit</t>
  </si>
  <si>
    <t xml:space="preserve">Debt Service Coverage Ratio</t>
  </si>
  <si>
    <t xml:space="preserve">WATCH — Below 1.0; principal repayments heavy vs earnings</t>
  </si>
  <si>
    <t xml:space="preserve">Return on Equity (Net Worth)</t>
  </si>
  <si>
    <t xml:space="preserve">&gt; 15%</t>
  </si>
  <si>
    <t xml:space="preserve">HEALTHY — Diluted by fresh IPO equity</t>
  </si>
  <si>
    <t xml:space="preserve">Return on Capital Employed</t>
  </si>
  <si>
    <t xml:space="preserve">&gt; 12%</t>
  </si>
  <si>
    <t xml:space="preserve">HEALTHY — Lower on enlarged capital base</t>
  </si>
  <si>
    <t xml:space="preserve">Net Profit Margin</t>
  </si>
  <si>
    <t xml:space="preserve">&gt; 5%</t>
  </si>
  <si>
    <t xml:space="preserve">HEALTHY — Margin expansion YoY</t>
  </si>
  <si>
    <t xml:space="preserve">Operating (EBITDA) Margin</t>
  </si>
  <si>
    <t xml:space="preserve">HEALTHY — Broadly stable</t>
  </si>
  <si>
    <t xml:space="preserve">Inventory Turnover Ratio</t>
  </si>
  <si>
    <t xml:space="preserve">&gt; 4.00</t>
  </si>
  <si>
    <t xml:space="preserve">WATCH — High inventory holding (~108 days)</t>
  </si>
  <si>
    <t xml:space="preserve">Trade Receivables Turnover</t>
  </si>
  <si>
    <t xml:space="preserve">&gt; 6.00</t>
  </si>
  <si>
    <t xml:space="preserve">HEALTHY — Collection improved (~49 days)</t>
  </si>
  <si>
    <t xml:space="preserve">Trade Payables Turnover</t>
  </si>
  <si>
    <t xml:space="preserve">n/a</t>
  </si>
  <si>
    <t xml:space="preserve">INFO — Faster payable settlement YoY</t>
  </si>
  <si>
    <t xml:space="preserve">Net Capital Turnover Ratio</t>
  </si>
  <si>
    <t xml:space="preserve">INFO — Fell as IPO cash inflated working capital</t>
  </si>
  <si>
    <t xml:space="preserve">CASH FLOW ANALYSIS (INR Lakhs)</t>
  </si>
  <si>
    <t xml:space="preserve">CASH FLOW STATEMENT (Indirect Method)</t>
  </si>
  <si>
    <t xml:space="preserve">OPERATING ACTIVITIES</t>
  </si>
  <si>
    <t xml:space="preserve">Net Profit Before Tax</t>
  </si>
  <si>
    <t xml:space="preserve">Add: Depreciation</t>
  </si>
  <si>
    <t xml:space="preserve">Add/(Less): Previous Year Gratuity &amp; Prepaid Effect</t>
  </si>
  <si>
    <t xml:space="preserve">Less: Interest Income</t>
  </si>
  <si>
    <t xml:space="preserve">Add: Interest &amp; Finance Charges</t>
  </si>
  <si>
    <t xml:space="preserve">Operating Profit before Working Capital Changes</t>
  </si>
  <si>
    <t xml:space="preserve">(Inc)/Dec in Trade Receivables</t>
  </si>
  <si>
    <t xml:space="preserve">(Inc)/Dec in Inventories</t>
  </si>
  <si>
    <t xml:space="preserve">(Inc)/Dec in Short-term Loans &amp; Advances</t>
  </si>
  <si>
    <t xml:space="preserve">(Inc)/Dec in Other Current Assets</t>
  </si>
  <si>
    <t xml:space="preserve">(Inc)/Dec in Non-current Assets</t>
  </si>
  <si>
    <t xml:space="preserve">Inc/(Dec) in Trade Payables</t>
  </si>
  <si>
    <t xml:space="preserve">Inc/(Dec) in Other Current Liabilities</t>
  </si>
  <si>
    <t xml:space="preserve">Inc/(Dec) in Long-term Provisions</t>
  </si>
  <si>
    <t xml:space="preserve">Inc/(Dec) in Short-term Provisions</t>
  </si>
  <si>
    <t xml:space="preserve">Cash Generated from Operations</t>
  </si>
  <si>
    <t xml:space="preserve">Less: Income Tax Paid (net of refund)</t>
  </si>
  <si>
    <t xml:space="preserve">Net Cash Flow from Operating Activities</t>
  </si>
  <si>
    <t xml:space="preserve">INVESTING ACTIVITIES</t>
  </si>
  <si>
    <t xml:space="preserve">Purchase of Fixed Assets</t>
  </si>
  <si>
    <t xml:space="preserve">Increase in Capital Work-in-Progress</t>
  </si>
  <si>
    <t xml:space="preserve">Advance for Capital Goods</t>
  </si>
  <si>
    <t xml:space="preserve">Interest Income</t>
  </si>
  <si>
    <t xml:space="preserve">Net Cash Used in Investing Activities</t>
  </si>
  <si>
    <t xml:space="preserve">FINANCING ACTIVITIES</t>
  </si>
  <si>
    <t xml:space="preserve">Inc/(Dec) in Long-term Borrowings</t>
  </si>
  <si>
    <t xml:space="preserve">Inc/(Dec) in Short-term Borrowings</t>
  </si>
  <si>
    <t xml:space="preserve">Net IPO Proceeds</t>
  </si>
  <si>
    <t xml:space="preserve">Interest Paid</t>
  </si>
  <si>
    <t xml:space="preserve">Net Cash from Financing Activities</t>
  </si>
  <si>
    <t xml:space="preserve">NET CHANGE IN CASH</t>
  </si>
  <si>
    <t xml:space="preserve">Net Increase in Cash &amp; Cash Equivalents</t>
  </si>
  <si>
    <t xml:space="preserve">Cash &amp; Cash Equivalents - Beginning of Year</t>
  </si>
  <si>
    <t xml:space="preserve">Cash &amp; Cash Equivalents - End of Year</t>
  </si>
  <si>
    <t xml:space="preserve">FREE CASH FLOW (derived)</t>
  </si>
  <si>
    <t xml:space="preserve">Cash from Operations</t>
  </si>
  <si>
    <t xml:space="preserve">Less: Capital Expenditure (Fixed Assets + CWIP + Capital Advances)</t>
  </si>
  <si>
    <t xml:space="preserve">Free Cash Flow</t>
  </si>
  <si>
    <t xml:space="preserve">Note: FY2024-25 free cash flow is negative due to capacity-expansion capex (machine shop, SG-iron foundry / CWIP INR 711.85 L and capital advances) funded primarily from IPO proceeds of INR 2,707.34 L.</t>
  </si>
  <si>
    <t xml:space="preserve">RISK ASSESSMENT MATRIX — ABHA POWER AND STEEL LIMITED</t>
  </si>
  <si>
    <t xml:space="preserve">RISK SCORING: Likelihood (1-5) x Impact (1-5) = Risk Score.  &lt;=6 LOW, 7-14 MEDIUM, 15-20 HIGH, &gt;=21 CRITICAL</t>
  </si>
  <si>
    <t xml:space="preserve">#</t>
  </si>
  <si>
    <t xml:space="preserve">Risk Category</t>
  </si>
  <si>
    <t xml:space="preserve">Likelihood
(1-5)</t>
  </si>
  <si>
    <t xml:space="preserve">Impact
(1-5)</t>
  </si>
  <si>
    <t xml:space="preserve">Risk Score</t>
  </si>
  <si>
    <t xml:space="preserve">Detailed Description</t>
  </si>
  <si>
    <t xml:space="preserve">Mitigation Status</t>
  </si>
  <si>
    <t xml:space="preserve">Raw Material &amp; Energy Price Volatility</t>
  </si>
  <si>
    <t xml:space="preserve">Pig iron, scrap, ferro-alloys and power costs remained volatile in FY25; input-cost swings compress margins (MD&amp;A).</t>
  </si>
  <si>
    <t xml:space="preserve">Long-term supply contracts; forward purchases; multi-source sourcing</t>
  </si>
  <si>
    <t xml:space="preserve">Customer / Sector Concentration</t>
  </si>
  <si>
    <t xml:space="preserve">Most revenue is from Indian Railways directly or via OEMs; heavy reliance on RDSO 'A'-class certification and railway capex cycle.</t>
  </si>
  <si>
    <t xml:space="preserve">Diversifying into steel, cement, power, mining sectors</t>
  </si>
  <si>
    <t xml:space="preserve">Debt Service Coverage</t>
  </si>
  <si>
    <t xml:space="preserve">DSCR of 0.66x (below 1.0); scheduled SIDBI/ICICI principal repayments exceed current earnings cover despite lower leverage.</t>
  </si>
  <si>
    <t xml:space="preserve">Post-IPO cash buffer of INR 1,542 L; D/E improved to 0.42</t>
  </si>
  <si>
    <t xml:space="preserve">Low Capacity Utilization</t>
  </si>
  <si>
    <t xml:space="preserve">FY25 output of 6,450 MT was only ~45% of 14,400 MT installed capacity, limiting operating leverage.</t>
  </si>
  <si>
    <t xml:space="preserve">Continuous sand mixer &amp; machine-shop additions to lift output</t>
  </si>
  <si>
    <t xml:space="preserve">Working Capital / Inventory Build-up</t>
  </si>
  <si>
    <t xml:space="preserve">Inventories rose to INR 2,347 L; inventory turnover 3.39x (~108 days) ties up working capital.</t>
  </si>
  <si>
    <t xml:space="preserve">Demand-based planning; net realisable value provisioning</t>
  </si>
  <si>
    <t xml:space="preserve">Power &amp; Energy Supply Reliability</t>
  </si>
  <si>
    <t xml:space="preserve">Energy-intensive melting operations exposed to grid disruption and tariff increases.</t>
  </si>
  <si>
    <t xml:space="preserve">~2.99 MW captive solar plant meeting 30-35% of energy needs</t>
  </si>
  <si>
    <t xml:space="preserve">Regulatory &amp; Environmental Compliance</t>
  </si>
  <si>
    <t xml:space="preserve">Subject to Air/Water/Environment Protection Acts and Mines &amp; Minerals laws; pollution-norm breaches carry penalties.</t>
  </si>
  <si>
    <t xml:space="preserve">ISO 14001 &amp; ISO 45001 certified; ZLD, scrubbers, bag filters</t>
  </si>
  <si>
    <t xml:space="preserve">Internal Control - Audit Trail Gap</t>
  </si>
  <si>
    <t xml:space="preserve">Auditors reported the accounting software's audit-trail (edit-log) feature was not operated throughout the year for all transactions.</t>
  </si>
  <si>
    <t xml:space="preserve">Maker-checker controls; internal audit by independent CA firm</t>
  </si>
  <si>
    <t xml:space="preserve">CSR Compliance Shortfall</t>
  </si>
  <si>
    <t xml:space="preserve">Unspent CSR of INR 4.67 L transferred to PMNRF only on 20-Aug-2025; flagged as CARO exception (clause xx(A)).</t>
  </si>
  <si>
    <t xml:space="preserve">Amount since transferred; nil unspent CSR as on report date</t>
  </si>
  <si>
    <t xml:space="preserve">Industry Cyclicality &amp; Competition</t>
  </si>
  <si>
    <t xml:space="preserve">Steel-casting demand is cyclical and faces SME competition and substitution by lightweight materials.</t>
  </si>
  <si>
    <t xml:space="preserve">Diversified product portfolio (1,000+ items) across sectors</t>
  </si>
  <si>
    <t xml:space="preserve">Promoter / Key-Person Dependence</t>
  </si>
  <si>
    <t xml:space="preserve">Strategy and operations centre on the promoter family (MD Atish Agrawal, WTD Satish Kumar Shah).</t>
  </si>
  <si>
    <t xml:space="preserve">Experienced board; independent directors &amp; committees in place</t>
  </si>
  <si>
    <t xml:space="preserve">Foreign Exchange Exposure</t>
  </si>
  <si>
    <t xml:space="preserve">Unhedged FX: EURO 6.15 L export earnings and USD 30.23 L capital-goods import outgo in FY25 (small but unhedged).</t>
  </si>
  <si>
    <t xml:space="preserve">Exposure immaterial relative to scale; predominantly domestic</t>
  </si>
  <si>
    <t xml:space="preserve">Contingent Liabilities / Tax</t>
  </si>
  <si>
    <t xml:space="preserve">Income-tax demand of INR 31.10 L disclosed as contingent liability (Note 24).</t>
  </si>
  <si>
    <t xml:space="preserve">Disclosed; not provided as outflow not considered probable</t>
  </si>
  <si>
    <t xml:space="preserve">Recent-Listing / Governance Maturity</t>
  </si>
  <si>
    <t xml:space="preserve">Newly listed SME (Dec-2024); several SEBI LODR provisions not yet applicable; governance framework still maturing.</t>
  </si>
  <si>
    <t xml:space="preserve">Voluntary committees, vigil mechanism, insider-trading code adopted</t>
  </si>
  <si>
    <t xml:space="preserve">Legend:</t>
  </si>
  <si>
    <t xml:space="preserve">LOW (1-6)</t>
  </si>
  <si>
    <t xml:space="preserve">MEDIUM (7-14)</t>
  </si>
  <si>
    <t xml:space="preserve">HIGH (15-20)</t>
  </si>
  <si>
    <t xml:space="preserve">CRITICAL (21-25)</t>
  </si>
  <si>
    <t xml:space="preserve">OVERALL SAVE RISK RATING — ABHA POWER AND STEEL LIMITED</t>
  </si>
  <si>
    <t xml:space="preserve">COMPOSITE RISK SCORECARD</t>
  </si>
  <si>
    <t xml:space="preserve">Risk Dimension</t>
  </si>
  <si>
    <t xml:space="preserve">Weight</t>
  </si>
  <si>
    <t xml:space="preserve">Score (1-10)</t>
  </si>
  <si>
    <t xml:space="preserve">Weighted Score</t>
  </si>
  <si>
    <t xml:space="preserve">Commentary</t>
  </si>
  <si>
    <t xml:space="preserve">Financial Strength</t>
  </si>
  <si>
    <t xml:space="preserve">Net worth INR 5,084 L; D/E 0.42; liquidity INR 1,542 L; small scale</t>
  </si>
  <si>
    <t xml:space="preserve">Profitability &amp; Growth</t>
  </si>
  <si>
    <t xml:space="preserve">Revenue +35.6%, PAT +64.7%; PAT margin up to 8.87%</t>
  </si>
  <si>
    <t xml:space="preserve">Cash Flow Adequacy</t>
  </si>
  <si>
    <t xml:space="preserve">DSCR 0.66x; negative FCF in FY25 on expansion capex</t>
  </si>
  <si>
    <t xml:space="preserve">Asset Quality</t>
  </si>
  <si>
    <t xml:space="preserve">Title deeds in name; no benami; low receivable disputes; clean PPE</t>
  </si>
  <si>
    <t xml:space="preserve">Industry / Market Risk</t>
  </si>
  <si>
    <t xml:space="preserve">Cyclical steel casting; railway concentration; ~45% utilization</t>
  </si>
  <si>
    <t xml:space="preserve">Management Quality</t>
  </si>
  <si>
    <t xml:space="preserve">Experienced promoters; recently listed; audit-trail control gap</t>
  </si>
  <si>
    <t xml:space="preserve">Compliance &amp; Legal</t>
  </si>
  <si>
    <t xml:space="preserve">Unqualified opinion; CARO CSR-transfer exception; minor tax demand</t>
  </si>
  <si>
    <t xml:space="preserve">ESG / Sustainability</t>
  </si>
  <si>
    <t xml:space="preserve">Captive solar; ISO 14001/45001; ZLD; afforestation &amp; green belt</t>
  </si>
  <si>
    <t xml:space="preserve">COMPOSITE WEIGHTED SCORE</t>
  </si>
  <si>
    <t xml:space="preserve">RISK RATING SCALE</t>
  </si>
  <si>
    <t xml:space="preserve">8.0 - 10.0</t>
  </si>
  <si>
    <t xml:space="preserve">LOW RISK</t>
  </si>
  <si>
    <t xml:space="preserve">Investment grade; excellent financial health</t>
  </si>
  <si>
    <t xml:space="preserve">6.0 - 7.9</t>
  </si>
  <si>
    <t xml:space="preserve">MODERATE RISK</t>
  </si>
  <si>
    <t xml:space="preserve">Acceptable risk; minor concerns / monitoring</t>
  </si>
  <si>
    <t xml:space="preserve">4.0 - 5.9</t>
  </si>
  <si>
    <t xml:space="preserve">ELEVATED RISK</t>
  </si>
  <si>
    <t xml:space="preserve">Heightened monitoring required</t>
  </si>
  <si>
    <t xml:space="preserve">2.0 - 3.9</t>
  </si>
  <si>
    <t xml:space="preserve">HIGH RISK</t>
  </si>
  <si>
    <t xml:space="preserve">Significant vulnerabilities; restrict exposure</t>
  </si>
  <si>
    <t xml:space="preserve">0.0 - 1.9</t>
  </si>
  <si>
    <t xml:space="preserve">CRITICAL RISK</t>
  </si>
  <si>
    <t xml:space="preserve">Severe financial distress; exit / reject</t>
  </si>
  <si>
    <t xml:space="preserve">RECOMMENDATION: MODERATE RISK (composite ~6.2/10). Abha Power and Steel Limited shows strong revenue (+35.6%) and PAT (+64.7%) growth, margin expansion, low post-IPO leverage (D/E 0.42) and healthy liquidity, supported by an unqualified audit opinion and RDSO 'A'-class certification. Credit may be extended within prudent, secured limits, with active monitoring of debt-service coverage (DSCR 0.66x), capacity utilization (~45%), inventory build-up and the noted audit-trail control gap. Facilities are secured by SIDBI/ICICI charges plus promoter and corporate guarantees.</t>
  </si>
  <si>
    <t xml:space="preserve">Prepared by:</t>
  </si>
  <si>
    <t xml:space="preserve">Credit Analysis Division</t>
  </si>
  <si>
    <t xml:space="preserve">Basis: Audited Financial Statements &amp; Independent Auditor's Report, FY ended March 31, 2025</t>
  </si>
  <si>
    <t xml:space="preserve">Date: May 29, 2025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</si>
</sst>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;\(#,##0.00\);\-"/>
    <numFmt numFmtId="166" formatCode="0.0%"/>
    <numFmt numFmtId="167" formatCode="#,##0;\(#,##0\);\-"/>
    <numFmt numFmtId="168" formatCode="#,##0.00"/>
    <numFmt numFmtId="169" formatCode="General"/>
    <numFmt numFmtId="170" formatCode="0%"/>
    <numFmt numFmtId="171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3D91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222222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sz val="9"/>
      <color rgb="FF666666"/>
      <name val="Arial"/>
      <family val="0"/>
      <charset val="1"/>
    </font>
    <font>
      <sz val="10"/>
      <color rgb="FF666666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C6EFCE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FD6CC"/>
      </patternFill>
    </fill>
    <fill>
      <patternFill patternType="solid">
        <fgColor rgb="FFFFD6CC"/>
        <bgColor rgb="FFFFC7CE"/>
      </patternFill>
    </fill>
    <fill>
      <patternFill patternType="solid">
        <fgColor rgb="FFFFC7CE"/>
        <bgColor rgb="FFFFD6CC"/>
      </patternFill>
    </fill>
    <fill>
      <patternFill patternType="solid">
        <fgColor rgb="FF7030A0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BBBBBB"/>
      <rgbColor rgb="FF808080"/>
      <rgbColor rgb="FF9999FF"/>
      <rgbColor rgb="FF7030A0"/>
      <rgbColor rgb="FFF2F2F2"/>
      <rgbColor rgb="FFFFD6CC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B3D91"/>
      <rgbColor rgb="FF339966"/>
      <rgbColor rgb="FF003300"/>
      <rgbColor rgb="FF333300"/>
      <rgbColor rgb="FF993300"/>
      <rgbColor rgb="FF993366"/>
      <rgbColor rgb="FF1F3864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0"/>
    <col collapsed="false" customWidth="true" hidden="false" outlineLevel="0" max="3" min="3" style="0" width="26"/>
  </cols>
  <sheetData>
    <row r="1" customFormat="false" ht="17.3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true" outlineLevel="0" collapsed="false">
      <c r="A5" s="4" t="s">
        <v>3</v>
      </c>
      <c r="B5" s="5" t="s">
        <v>4</v>
      </c>
      <c r="C5" s="5"/>
    </row>
    <row r="6" customFormat="false" ht="15" hidden="false" customHeight="true" outlineLevel="0" collapsed="false">
      <c r="A6" s="6" t="s">
        <v>5</v>
      </c>
      <c r="B6" s="7" t="s">
        <v>6</v>
      </c>
      <c r="C6" s="7"/>
    </row>
    <row r="7" customFormat="false" ht="15" hidden="false" customHeight="true" outlineLevel="0" collapsed="false">
      <c r="A7" s="4" t="s">
        <v>7</v>
      </c>
      <c r="B7" s="5" t="s">
        <v>8</v>
      </c>
      <c r="C7" s="5"/>
    </row>
    <row r="8" customFormat="false" ht="15" hidden="false" customHeight="true" outlineLevel="0" collapsed="false">
      <c r="A8" s="6" t="s">
        <v>9</v>
      </c>
      <c r="B8" s="7" t="s">
        <v>10</v>
      </c>
      <c r="C8" s="7"/>
    </row>
    <row r="9" customFormat="false" ht="15" hidden="false" customHeight="true" outlineLevel="0" collapsed="false">
      <c r="A9" s="4" t="s">
        <v>11</v>
      </c>
      <c r="B9" s="5" t="s">
        <v>12</v>
      </c>
      <c r="C9" s="5"/>
    </row>
    <row r="10" customFormat="false" ht="15" hidden="false" customHeight="true" outlineLevel="0" collapsed="false">
      <c r="A10" s="6" t="s">
        <v>13</v>
      </c>
      <c r="B10" s="7" t="s">
        <v>14</v>
      </c>
      <c r="C10" s="7"/>
    </row>
    <row r="11" customFormat="false" ht="15" hidden="false" customHeight="true" outlineLevel="0" collapsed="false">
      <c r="A11" s="4" t="s">
        <v>15</v>
      </c>
      <c r="B11" s="5" t="s">
        <v>16</v>
      </c>
      <c r="C11" s="5"/>
    </row>
    <row r="12" customFormat="false" ht="15" hidden="false" customHeight="true" outlineLevel="0" collapsed="false">
      <c r="A12" s="6" t="s">
        <v>17</v>
      </c>
      <c r="B12" s="7" t="s">
        <v>18</v>
      </c>
      <c r="C12" s="7"/>
    </row>
    <row r="13" customFormat="false" ht="15" hidden="false" customHeight="true" outlineLevel="0" collapsed="false">
      <c r="A13" s="4" t="s">
        <v>19</v>
      </c>
      <c r="B13" s="5" t="s">
        <v>20</v>
      </c>
      <c r="C13" s="5"/>
    </row>
    <row r="14" customFormat="false" ht="15" hidden="false" customHeight="true" outlineLevel="0" collapsed="false">
      <c r="A14" s="6" t="s">
        <v>21</v>
      </c>
      <c r="B14" s="7" t="s">
        <v>22</v>
      </c>
      <c r="C14" s="7"/>
    </row>
    <row r="15" customFormat="false" ht="15" hidden="false" customHeight="true" outlineLevel="0" collapsed="false">
      <c r="A15" s="4" t="s">
        <v>23</v>
      </c>
      <c r="B15" s="5" t="s">
        <v>24</v>
      </c>
      <c r="C15" s="5"/>
    </row>
    <row r="16" customFormat="false" ht="15" hidden="false" customHeight="true" outlineLevel="0" collapsed="false">
      <c r="A16" s="6" t="s">
        <v>25</v>
      </c>
      <c r="B16" s="7" t="s">
        <v>26</v>
      </c>
      <c r="C16" s="7"/>
    </row>
    <row r="17" customFormat="false" ht="15" hidden="false" customHeight="true" outlineLevel="0" collapsed="false">
      <c r="A17" s="4" t="s">
        <v>27</v>
      </c>
      <c r="B17" s="5" t="s">
        <v>28</v>
      </c>
      <c r="C17" s="5"/>
    </row>
    <row r="18" customFormat="false" ht="15" hidden="false" customHeight="true" outlineLevel="0" collapsed="false">
      <c r="A18" s="6" t="s">
        <v>29</v>
      </c>
      <c r="B18" s="7" t="s">
        <v>30</v>
      </c>
      <c r="C18" s="7"/>
    </row>
    <row r="19" customFormat="false" ht="15" hidden="false" customHeight="true" outlineLevel="0" collapsed="false">
      <c r="A19" s="4" t="s">
        <v>31</v>
      </c>
      <c r="B19" s="5" t="s">
        <v>32</v>
      </c>
      <c r="C19" s="5"/>
    </row>
    <row r="20" customFormat="false" ht="15" hidden="false" customHeight="true" outlineLevel="0" collapsed="false">
      <c r="A20" s="6" t="s">
        <v>33</v>
      </c>
      <c r="B20" s="7" t="s">
        <v>34</v>
      </c>
      <c r="C20" s="7"/>
    </row>
    <row r="21" customFormat="false" ht="15" hidden="false" customHeight="true" outlineLevel="0" collapsed="false">
      <c r="A21" s="4" t="s">
        <v>35</v>
      </c>
      <c r="B21" s="5" t="s">
        <v>36</v>
      </c>
      <c r="C21" s="5"/>
    </row>
    <row r="23" customFormat="false" ht="15" hidden="false" customHeight="false" outlineLevel="0" collapsed="false">
      <c r="A23" s="3" t="s">
        <v>37</v>
      </c>
      <c r="B23" s="3"/>
      <c r="C23" s="3"/>
    </row>
    <row r="24" customFormat="false" ht="15" hidden="false" customHeight="false" outlineLevel="0" collapsed="false">
      <c r="A24" s="8" t="s">
        <v>38</v>
      </c>
      <c r="B24" s="9" t="s">
        <v>39</v>
      </c>
      <c r="C24" s="9" t="s">
        <v>40</v>
      </c>
    </row>
    <row r="25" customFormat="false" ht="15" hidden="false" customHeight="false" outlineLevel="0" collapsed="false">
      <c r="A25" s="10" t="s">
        <v>41</v>
      </c>
      <c r="B25" s="10" t="s">
        <v>42</v>
      </c>
      <c r="C25" s="10" t="s">
        <v>43</v>
      </c>
    </row>
    <row r="26" customFormat="false" ht="15" hidden="false" customHeight="false" outlineLevel="0" collapsed="false">
      <c r="A26" s="11" t="s">
        <v>44</v>
      </c>
      <c r="B26" s="11" t="s">
        <v>45</v>
      </c>
      <c r="C26" s="11" t="s">
        <v>46</v>
      </c>
    </row>
    <row r="27" customFormat="false" ht="15" hidden="false" customHeight="false" outlineLevel="0" collapsed="false">
      <c r="A27" s="10" t="s">
        <v>47</v>
      </c>
      <c r="B27" s="10" t="s">
        <v>48</v>
      </c>
      <c r="C27" s="10" t="s">
        <v>49</v>
      </c>
    </row>
    <row r="28" customFormat="false" ht="15" hidden="false" customHeight="false" outlineLevel="0" collapsed="false">
      <c r="A28" s="11" t="s">
        <v>50</v>
      </c>
      <c r="B28" s="11" t="s">
        <v>51</v>
      </c>
      <c r="C28" s="11" t="s">
        <v>52</v>
      </c>
    </row>
    <row r="29" customFormat="false" ht="15" hidden="false" customHeight="false" outlineLevel="0" collapsed="false">
      <c r="A29" s="10" t="s">
        <v>53</v>
      </c>
      <c r="B29" s="10" t="s">
        <v>54</v>
      </c>
      <c r="C29" s="10" t="s">
        <v>55</v>
      </c>
    </row>
    <row r="30" customFormat="false" ht="15" hidden="false" customHeight="false" outlineLevel="0" collapsed="false">
      <c r="A30" s="11" t="s">
        <v>56</v>
      </c>
      <c r="B30" s="11" t="s">
        <v>57</v>
      </c>
      <c r="C30" s="11" t="s">
        <v>58</v>
      </c>
    </row>
    <row r="31" customFormat="false" ht="15" hidden="false" customHeight="false" outlineLevel="0" collapsed="false">
      <c r="A31" s="10" t="s">
        <v>59</v>
      </c>
      <c r="B31" s="10" t="s">
        <v>57</v>
      </c>
      <c r="C31" s="10" t="s">
        <v>60</v>
      </c>
    </row>
    <row r="32" customFormat="false" ht="15" hidden="false" customHeight="false" outlineLevel="0" collapsed="false">
      <c r="A32" s="11" t="s">
        <v>61</v>
      </c>
      <c r="B32" s="11" t="s">
        <v>62</v>
      </c>
      <c r="C32" s="11" t="s">
        <v>63</v>
      </c>
    </row>
    <row r="34" customFormat="false" ht="15" hidden="false" customHeight="false" outlineLevel="0" collapsed="false">
      <c r="A34" s="3" t="s">
        <v>64</v>
      </c>
      <c r="B34" s="3"/>
      <c r="C34" s="3"/>
    </row>
    <row r="35" customFormat="false" ht="23.85" hidden="false" customHeight="true" outlineLevel="0" collapsed="false">
      <c r="A35" s="5" t="s">
        <v>65</v>
      </c>
      <c r="B35" s="5"/>
      <c r="C35" s="5"/>
    </row>
    <row r="36" customFormat="false" ht="15" hidden="false" customHeight="false" outlineLevel="0" collapsed="false">
      <c r="A36" s="8" t="s">
        <v>66</v>
      </c>
      <c r="B36" s="9" t="s">
        <v>67</v>
      </c>
      <c r="C36" s="9" t="s">
        <v>68</v>
      </c>
    </row>
    <row r="37" customFormat="false" ht="15" hidden="false" customHeight="false" outlineLevel="0" collapsed="false">
      <c r="A37" s="10" t="s">
        <v>69</v>
      </c>
      <c r="B37" s="10" t="s">
        <v>70</v>
      </c>
      <c r="C37" s="12" t="s">
        <v>71</v>
      </c>
    </row>
    <row r="38" customFormat="false" ht="15" hidden="false" customHeight="false" outlineLevel="0" collapsed="false">
      <c r="A38" s="11" t="s">
        <v>72</v>
      </c>
      <c r="B38" s="11" t="s">
        <v>73</v>
      </c>
      <c r="C38" s="13" t="s">
        <v>74</v>
      </c>
    </row>
    <row r="39" customFormat="false" ht="15" hidden="false" customHeight="false" outlineLevel="0" collapsed="false">
      <c r="A39" s="10" t="s">
        <v>75</v>
      </c>
      <c r="B39" s="10" t="s">
        <v>76</v>
      </c>
      <c r="C39" s="12" t="s">
        <v>77</v>
      </c>
    </row>
    <row r="40" customFormat="false" ht="15" hidden="false" customHeight="false" outlineLevel="0" collapsed="false">
      <c r="A40" s="11" t="s">
        <v>78</v>
      </c>
      <c r="B40" s="11" t="s">
        <v>76</v>
      </c>
      <c r="C40" s="13" t="s">
        <v>79</v>
      </c>
    </row>
    <row r="41" customFormat="false" ht="15" hidden="false" customHeight="false" outlineLevel="0" collapsed="false">
      <c r="A41" s="10" t="s">
        <v>80</v>
      </c>
      <c r="B41" s="10" t="s">
        <v>73</v>
      </c>
      <c r="C41" s="12" t="s">
        <v>81</v>
      </c>
    </row>
    <row r="42" customFormat="false" ht="15" hidden="false" customHeight="false" outlineLevel="0" collapsed="false">
      <c r="A42" s="11" t="s">
        <v>82</v>
      </c>
      <c r="B42" s="11" t="s">
        <v>76</v>
      </c>
      <c r="C42" s="13" t="s">
        <v>83</v>
      </c>
    </row>
  </sheetData>
  <mergeCells count="23">
    <mergeCell ref="A1:C1"/>
    <mergeCell ref="A2:C2"/>
    <mergeCell ref="A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3:C23"/>
    <mergeCell ref="A34:C34"/>
    <mergeCell ref="A35:C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84</v>
      </c>
      <c r="B1" s="1"/>
      <c r="C1" s="1"/>
      <c r="D1" s="1"/>
    </row>
    <row r="3" customFormat="false" ht="15" hidden="false" customHeight="false" outlineLevel="0" collapsed="false">
      <c r="A3" s="3" t="s">
        <v>85</v>
      </c>
      <c r="B3" s="3"/>
      <c r="C3" s="3"/>
      <c r="D3" s="3"/>
    </row>
    <row r="4" customFormat="false" ht="15" hidden="false" customHeight="false" outlineLevel="0" collapsed="false">
      <c r="A4" s="8" t="s">
        <v>86</v>
      </c>
      <c r="B4" s="9" t="s">
        <v>87</v>
      </c>
      <c r="C4" s="9" t="s">
        <v>88</v>
      </c>
      <c r="D4" s="9" t="s">
        <v>89</v>
      </c>
    </row>
    <row r="5" customFormat="false" ht="15" hidden="false" customHeight="false" outlineLevel="0" collapsed="false">
      <c r="A5" s="5" t="s">
        <v>90</v>
      </c>
      <c r="B5" s="14" t="n">
        <v>7018.01</v>
      </c>
      <c r="C5" s="14" t="n">
        <v>5174.7</v>
      </c>
      <c r="D5" s="15" t="n">
        <f aca="false">IF(C5&lt;&gt;0,(B5-C5)/ABS(C5),"-")</f>
        <v>0.356215819274547</v>
      </c>
    </row>
    <row r="6" customFormat="false" ht="15" hidden="false" customHeight="false" outlineLevel="0" collapsed="false">
      <c r="A6" s="7" t="s">
        <v>91</v>
      </c>
      <c r="B6" s="16" t="n">
        <v>64.98</v>
      </c>
      <c r="C6" s="16" t="n">
        <v>7.97</v>
      </c>
      <c r="D6" s="17" t="n">
        <f aca="false">IF(C6&lt;&gt;0,(B6-C6)/ABS(C6),"-")</f>
        <v>7.15307402760351</v>
      </c>
    </row>
    <row r="7" customFormat="false" ht="15" hidden="false" customHeight="false" outlineLevel="0" collapsed="false">
      <c r="A7" s="18" t="s">
        <v>92</v>
      </c>
      <c r="B7" s="19" t="n">
        <f aca="false">B5+B6</f>
        <v>7082.99</v>
      </c>
      <c r="C7" s="19" t="n">
        <f aca="false">C5+C6</f>
        <v>5182.67</v>
      </c>
      <c r="D7" s="15" t="n">
        <f aca="false">IF(C7&lt;&gt;0,(B7-C7)/ABS(C7),"-")</f>
        <v>0.366668145955656</v>
      </c>
    </row>
    <row r="8" customFormat="false" ht="15" hidden="false" customHeight="false" outlineLevel="0" collapsed="false">
      <c r="A8" s="7" t="s">
        <v>93</v>
      </c>
      <c r="B8" s="16" t="n">
        <v>4346.72</v>
      </c>
      <c r="C8" s="16" t="n">
        <v>3097.69</v>
      </c>
      <c r="D8" s="17" t="n">
        <f aca="false">IF(C8&lt;&gt;0,(B8-C8)/ABS(C8),"-")</f>
        <v>0.40321336221507</v>
      </c>
    </row>
    <row r="9" customFormat="false" ht="23.85" hidden="false" customHeight="false" outlineLevel="0" collapsed="false">
      <c r="A9" s="5" t="s">
        <v>94</v>
      </c>
      <c r="B9" s="14" t="n">
        <v>-427.1</v>
      </c>
      <c r="C9" s="14" t="n">
        <v>-306.73</v>
      </c>
      <c r="D9" s="20" t="s">
        <v>95</v>
      </c>
    </row>
    <row r="10" customFormat="false" ht="15" hidden="false" customHeight="false" outlineLevel="0" collapsed="false">
      <c r="A10" s="7" t="s">
        <v>96</v>
      </c>
      <c r="B10" s="16" t="n">
        <v>547.56</v>
      </c>
      <c r="C10" s="16" t="n">
        <v>361.44</v>
      </c>
      <c r="D10" s="17" t="n">
        <f aca="false">IF(C10&lt;&gt;0,(B10-C10)/ABS(C10),"-")</f>
        <v>0.514940239043825</v>
      </c>
    </row>
    <row r="11" customFormat="false" ht="15" hidden="false" customHeight="false" outlineLevel="0" collapsed="false">
      <c r="A11" s="5" t="s">
        <v>97</v>
      </c>
      <c r="B11" s="14" t="n">
        <v>187.19</v>
      </c>
      <c r="C11" s="14" t="n">
        <v>212.9</v>
      </c>
      <c r="D11" s="15" t="n">
        <f aca="false">IF(C11&lt;&gt;0,(B11-C11)/ABS(C11),"-")</f>
        <v>-0.120760920620009</v>
      </c>
    </row>
    <row r="12" customFormat="false" ht="15" hidden="false" customHeight="false" outlineLevel="0" collapsed="false">
      <c r="A12" s="7" t="s">
        <v>98</v>
      </c>
      <c r="B12" s="16" t="n">
        <v>102.7</v>
      </c>
      <c r="C12" s="16" t="n">
        <v>102.25</v>
      </c>
      <c r="D12" s="17" t="n">
        <f aca="false">IF(C12&lt;&gt;0,(B12-C12)/ABS(C12),"-")</f>
        <v>0.00440097799511005</v>
      </c>
    </row>
    <row r="13" customFormat="false" ht="15" hidden="false" customHeight="false" outlineLevel="0" collapsed="false">
      <c r="A13" s="5" t="s">
        <v>99</v>
      </c>
      <c r="B13" s="14" t="n">
        <v>1476.16</v>
      </c>
      <c r="C13" s="14" t="n">
        <v>1208.1</v>
      </c>
      <c r="D13" s="15" t="n">
        <f aca="false">IF(C13&lt;&gt;0,(B13-C13)/ABS(C13),"-")</f>
        <v>0.221885605496234</v>
      </c>
    </row>
    <row r="14" customFormat="false" ht="15" hidden="false" customHeight="false" outlineLevel="0" collapsed="false">
      <c r="A14" s="21" t="s">
        <v>100</v>
      </c>
      <c r="B14" s="22" t="n">
        <f aca="false">SUM(B8:B13)</f>
        <v>6233.23</v>
      </c>
      <c r="C14" s="22" t="n">
        <f aca="false">SUM(C8:C13)</f>
        <v>4675.65</v>
      </c>
      <c r="D14" s="17" t="n">
        <f aca="false">IF(C14&lt;&gt;0,(B14-C14)/ABS(C14),"-")</f>
        <v>0.333125875546716</v>
      </c>
    </row>
    <row r="15" customFormat="false" ht="15" hidden="false" customHeight="false" outlineLevel="0" collapsed="false">
      <c r="A15" s="18" t="s">
        <v>101</v>
      </c>
      <c r="B15" s="19" t="n">
        <f aca="false">B7-B14</f>
        <v>849.759999999999</v>
      </c>
      <c r="C15" s="19" t="n">
        <f aca="false">C7-C14</f>
        <v>507.02</v>
      </c>
      <c r="D15" s="15" t="n">
        <f aca="false">IF(C15&lt;&gt;0,(B15-C15)/ABS(C15),"-")</f>
        <v>0.675989112855506</v>
      </c>
    </row>
    <row r="16" customFormat="false" ht="15" hidden="false" customHeight="false" outlineLevel="0" collapsed="false">
      <c r="A16" s="7" t="s">
        <v>102</v>
      </c>
      <c r="B16" s="16" t="n">
        <v>226.93</v>
      </c>
      <c r="C16" s="16" t="n">
        <v>128.84</v>
      </c>
      <c r="D16" s="17" t="n">
        <f aca="false">IF(C16&lt;&gt;0,(B16-C16)/ABS(C16),"-")</f>
        <v>0.761331884507917</v>
      </c>
    </row>
    <row r="17" customFormat="false" ht="15" hidden="false" customHeight="false" outlineLevel="0" collapsed="false">
      <c r="A17" s="18" t="s">
        <v>103</v>
      </c>
      <c r="B17" s="19" t="n">
        <f aca="false">B15-B16</f>
        <v>622.829999999999</v>
      </c>
      <c r="C17" s="19" t="n">
        <f aca="false">C15-C16</f>
        <v>378.18</v>
      </c>
      <c r="D17" s="15" t="n">
        <f aca="false">IF(C17&lt;&gt;0,(B17-C17)/ABS(C17),"-")</f>
        <v>0.646914167856573</v>
      </c>
    </row>
    <row r="18" customFormat="false" ht="15" hidden="false" customHeight="false" outlineLevel="0" collapsed="false">
      <c r="A18" s="7" t="s">
        <v>104</v>
      </c>
      <c r="B18" s="16" t="n">
        <v>3.94</v>
      </c>
      <c r="C18" s="16" t="n">
        <v>2.62</v>
      </c>
      <c r="D18" s="17" t="n">
        <f aca="false">IF(C18&lt;&gt;0,(B18-C18)/ABS(C18),"-")</f>
        <v>0.50381679389313</v>
      </c>
    </row>
    <row r="19" customFormat="false" ht="23.85" hidden="false" customHeight="false" outlineLevel="0" collapsed="false">
      <c r="A19" s="18" t="s">
        <v>105</v>
      </c>
      <c r="B19" s="19" t="n">
        <f aca="false">B15+B11+B12-B6</f>
        <v>1074.67</v>
      </c>
      <c r="C19" s="19" t="n">
        <f aca="false">C15+C11+C12-C6</f>
        <v>814.2</v>
      </c>
      <c r="D19" s="15" t="n">
        <f aca="false">IF(C19&lt;&gt;0,(B19-C19)/ABS(C19),"-")</f>
        <v>0.319909113239989</v>
      </c>
    </row>
    <row r="21" customFormat="false" ht="15" hidden="false" customHeight="false" outlineLevel="0" collapsed="false">
      <c r="A21" s="3" t="s">
        <v>106</v>
      </c>
      <c r="B21" s="3"/>
      <c r="C21" s="3"/>
      <c r="D21" s="3"/>
    </row>
    <row r="22" customFormat="false" ht="15" hidden="false" customHeight="false" outlineLevel="0" collapsed="false">
      <c r="A22" s="23" t="s">
        <v>107</v>
      </c>
      <c r="B22" s="24" t="s">
        <v>108</v>
      </c>
      <c r="C22" s="24" t="s">
        <v>109</v>
      </c>
      <c r="D22" s="24" t="s">
        <v>110</v>
      </c>
    </row>
    <row r="23" customFormat="false" ht="15" hidden="false" customHeight="false" outlineLevel="0" collapsed="false">
      <c r="A23" s="10" t="s">
        <v>111</v>
      </c>
      <c r="B23" s="14" t="n">
        <v>70.18</v>
      </c>
      <c r="C23" s="14" t="n">
        <v>51.75</v>
      </c>
      <c r="D23" s="14" t="n">
        <v>54.7</v>
      </c>
    </row>
    <row r="24" customFormat="false" ht="15" hidden="false" customHeight="false" outlineLevel="0" collapsed="false">
      <c r="A24" s="11" t="s">
        <v>112</v>
      </c>
      <c r="B24" s="25" t="n">
        <v>0.1531</v>
      </c>
      <c r="C24" s="25" t="n">
        <v>0.1573</v>
      </c>
      <c r="D24" s="25" t="n">
        <v>0.0617</v>
      </c>
    </row>
    <row r="25" customFormat="false" ht="15" hidden="false" customHeight="false" outlineLevel="0" collapsed="false">
      <c r="A25" s="10" t="s">
        <v>113</v>
      </c>
      <c r="B25" s="26" t="n">
        <v>0.0887</v>
      </c>
      <c r="C25" s="26" t="n">
        <v>0.0731</v>
      </c>
      <c r="D25" s="26" t="n">
        <v>0.026</v>
      </c>
    </row>
    <row r="26" customFormat="false" ht="15" hidden="false" customHeight="false" outlineLevel="0" collapsed="false">
      <c r="A26" s="11" t="s">
        <v>114</v>
      </c>
      <c r="B26" s="27" t="n">
        <v>6450</v>
      </c>
      <c r="C26" s="27" t="n">
        <v>5362</v>
      </c>
      <c r="D26" s="27" t="n">
        <v>5770</v>
      </c>
    </row>
    <row r="28" customFormat="false" ht="15" hidden="false" customHeight="false" outlineLevel="0" collapsed="false">
      <c r="A28" s="3" t="s">
        <v>115</v>
      </c>
      <c r="B28" s="3"/>
      <c r="C28" s="3"/>
      <c r="D28" s="3"/>
    </row>
    <row r="29" customFormat="false" ht="15" hidden="false" customHeight="false" outlineLevel="0" collapsed="false">
      <c r="A29" s="23" t="s">
        <v>107</v>
      </c>
      <c r="B29" s="24" t="s">
        <v>87</v>
      </c>
      <c r="C29" s="24" t="s">
        <v>88</v>
      </c>
      <c r="D29" s="24" t="s">
        <v>116</v>
      </c>
    </row>
    <row r="30" customFormat="false" ht="15" hidden="false" customHeight="false" outlineLevel="0" collapsed="false">
      <c r="A30" s="10" t="s">
        <v>117</v>
      </c>
      <c r="B30" s="28" t="n">
        <f aca="false">B5-B8-B9</f>
        <v>3098.39</v>
      </c>
      <c r="C30" s="28" t="n">
        <f aca="false">C5-C8-C9</f>
        <v>2383.74</v>
      </c>
      <c r="D30" s="12" t="str">
        <f aca="false">IF(B30&gt;C30,"Up","Down")</f>
        <v>Up</v>
      </c>
    </row>
    <row r="31" customFormat="false" ht="15" hidden="false" customHeight="false" outlineLevel="0" collapsed="false">
      <c r="A31" s="11" t="s">
        <v>118</v>
      </c>
      <c r="B31" s="17" t="n">
        <f aca="false">(B5-B8-B9)/B5</f>
        <v>0.441491248943789</v>
      </c>
      <c r="C31" s="17" t="n">
        <f aca="false">(C5-C8-C9)/C5</f>
        <v>0.460652791466172</v>
      </c>
      <c r="D31" s="13" t="str">
        <f aca="false">IF(B31&gt;C31,"Improving",IF(B31&lt;C31,"Declining","Stable"))</f>
        <v>Declining</v>
      </c>
    </row>
    <row r="32" customFormat="false" ht="15" hidden="false" customHeight="false" outlineLevel="0" collapsed="false">
      <c r="A32" s="10" t="s">
        <v>119</v>
      </c>
      <c r="B32" s="15" t="n">
        <f aca="false">B19/B5</f>
        <v>0.153130303319602</v>
      </c>
      <c r="C32" s="15" t="n">
        <f aca="false">C19/C5</f>
        <v>0.157342454635051</v>
      </c>
      <c r="D32" s="12" t="str">
        <f aca="false">IF(B32&gt;C32,"Improving",IF(B32&lt;C32,"Declining","Stable"))</f>
        <v>Declining</v>
      </c>
    </row>
    <row r="33" customFormat="false" ht="15" hidden="false" customHeight="false" outlineLevel="0" collapsed="false">
      <c r="A33" s="11" t="s">
        <v>120</v>
      </c>
      <c r="B33" s="17" t="n">
        <f aca="false">B17/B5</f>
        <v>0.0887473799552864</v>
      </c>
      <c r="C33" s="17" t="n">
        <f aca="false">C17/C5</f>
        <v>0.0730824975360891</v>
      </c>
      <c r="D33" s="13" t="str">
        <f aca="false">IF(B33&gt;C33,"Improving",IF(B33&lt;C33,"Declining","Stable"))</f>
        <v>Improving</v>
      </c>
    </row>
    <row r="34" customFormat="false" ht="15" hidden="false" customHeight="false" outlineLevel="0" collapsed="false">
      <c r="A34" s="10" t="s">
        <v>121</v>
      </c>
      <c r="B34" s="15" t="n">
        <f aca="false">B16/B15</f>
        <v>0.267051873470157</v>
      </c>
      <c r="C34" s="15" t="n">
        <f aca="false">C16/C15</f>
        <v>0.254112263816023</v>
      </c>
      <c r="D34" s="12" t="str">
        <f aca="false">IF(B34&gt;C34,"Improving",IF(B34&lt;C34,"Declining","Stable"))</f>
        <v>Improving</v>
      </c>
    </row>
  </sheetData>
  <mergeCells count="4">
    <mergeCell ref="A1:D1"/>
    <mergeCell ref="A3:D3"/>
    <mergeCell ref="A21:D21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122</v>
      </c>
      <c r="B1" s="1"/>
      <c r="C1" s="1"/>
      <c r="D1" s="1"/>
    </row>
    <row r="3" customFormat="false" ht="15" hidden="false" customHeight="false" outlineLevel="0" collapsed="false">
      <c r="A3" s="3" t="s">
        <v>123</v>
      </c>
      <c r="B3" s="3"/>
      <c r="C3" s="3"/>
      <c r="D3" s="3"/>
      <c r="E3" s="3"/>
    </row>
    <row r="4" customFormat="false" ht="15" hidden="false" customHeight="false" outlineLevel="0" collapsed="false">
      <c r="A4" s="8" t="s">
        <v>86</v>
      </c>
      <c r="B4" s="9" t="s">
        <v>124</v>
      </c>
      <c r="C4" s="9" t="s">
        <v>125</v>
      </c>
      <c r="D4" s="9" t="s">
        <v>126</v>
      </c>
      <c r="E4" s="9" t="s">
        <v>127</v>
      </c>
    </row>
    <row r="5" customFormat="false" ht="15" hidden="false" customHeight="false" outlineLevel="0" collapsed="false">
      <c r="A5" s="23" t="s">
        <v>128</v>
      </c>
      <c r="B5" s="23"/>
      <c r="C5" s="23"/>
      <c r="D5" s="23"/>
      <c r="E5" s="23"/>
    </row>
    <row r="6" customFormat="false" ht="15" hidden="false" customHeight="false" outlineLevel="0" collapsed="false">
      <c r="A6" s="5" t="s">
        <v>129</v>
      </c>
      <c r="B6" s="14" t="n">
        <v>1858.78</v>
      </c>
      <c r="C6" s="14" t="n">
        <v>1444.86</v>
      </c>
      <c r="D6" s="28" t="n">
        <f aca="false">B6-C6</f>
        <v>413.92</v>
      </c>
      <c r="E6" s="15" t="n">
        <f aca="false">IF(C6&lt;&gt;0,(B6-C6)/ABS(C6),"-")</f>
        <v>0.286477582603159</v>
      </c>
    </row>
    <row r="7" customFormat="false" ht="15" hidden="false" customHeight="false" outlineLevel="0" collapsed="false">
      <c r="A7" s="7" t="s">
        <v>130</v>
      </c>
      <c r="B7" s="16" t="n">
        <v>3225.03</v>
      </c>
      <c r="C7" s="16" t="n">
        <v>308.8</v>
      </c>
      <c r="D7" s="29" t="n">
        <f aca="false">B7-C7</f>
        <v>2916.23</v>
      </c>
      <c r="E7" s="17" t="n">
        <f aca="false">IF(C7&lt;&gt;0,(B7-C7)/ABS(C7),"-")</f>
        <v>9.44375</v>
      </c>
    </row>
    <row r="8" customFormat="false" ht="15" hidden="false" customHeight="false" outlineLevel="0" collapsed="false">
      <c r="A8" s="5" t="s">
        <v>131</v>
      </c>
      <c r="B8" s="14" t="n">
        <v>919.92</v>
      </c>
      <c r="C8" s="14" t="n">
        <v>1236.46</v>
      </c>
      <c r="D8" s="28" t="n">
        <f aca="false">B8-C8</f>
        <v>-316.54</v>
      </c>
      <c r="E8" s="15" t="n">
        <f aca="false">IF(C8&lt;&gt;0,(B8-C8)/ABS(C8),"-")</f>
        <v>-0.256005046665481</v>
      </c>
    </row>
    <row r="9" customFormat="false" ht="15" hidden="false" customHeight="false" outlineLevel="0" collapsed="false">
      <c r="A9" s="7" t="s">
        <v>132</v>
      </c>
      <c r="B9" s="16" t="n">
        <v>272.54</v>
      </c>
      <c r="C9" s="16" t="n">
        <v>192.11</v>
      </c>
      <c r="D9" s="29" t="n">
        <f aca="false">B9-C9</f>
        <v>80.43</v>
      </c>
      <c r="E9" s="17" t="n">
        <f aca="false">IF(C9&lt;&gt;0,(B9-C9)/ABS(C9),"-")</f>
        <v>0.418666389047941</v>
      </c>
    </row>
    <row r="10" customFormat="false" ht="15" hidden="false" customHeight="false" outlineLevel="0" collapsed="false">
      <c r="A10" s="5" t="s">
        <v>133</v>
      </c>
      <c r="B10" s="14" t="n">
        <v>23.07</v>
      </c>
      <c r="C10" s="14" t="n">
        <v>18.39</v>
      </c>
      <c r="D10" s="28" t="n">
        <f aca="false">B10-C10</f>
        <v>4.68</v>
      </c>
      <c r="E10" s="15" t="n">
        <f aca="false">IF(C10&lt;&gt;0,(B10-C10)/ABS(C10),"-")</f>
        <v>0.254486133768352</v>
      </c>
    </row>
    <row r="11" customFormat="false" ht="15" hidden="false" customHeight="false" outlineLevel="0" collapsed="false">
      <c r="A11" s="7" t="s">
        <v>134</v>
      </c>
      <c r="B11" s="16" t="n">
        <v>1195.36</v>
      </c>
      <c r="C11" s="16" t="n">
        <v>1136.77</v>
      </c>
      <c r="D11" s="29" t="n">
        <f aca="false">B11-C11</f>
        <v>58.5899999999999</v>
      </c>
      <c r="E11" s="17" t="n">
        <f aca="false">IF(C11&lt;&gt;0,(B11-C11)/ABS(C11),"-")</f>
        <v>0.051540769020998</v>
      </c>
    </row>
    <row r="12" customFormat="false" ht="15" hidden="false" customHeight="false" outlineLevel="0" collapsed="false">
      <c r="A12" s="5" t="s">
        <v>135</v>
      </c>
      <c r="B12" s="14" t="n">
        <v>173.58</v>
      </c>
      <c r="C12" s="14" t="n">
        <v>198.14</v>
      </c>
      <c r="D12" s="28" t="n">
        <f aca="false">B12-C12</f>
        <v>-24.56</v>
      </c>
      <c r="E12" s="15" t="n">
        <f aca="false">IF(C12&lt;&gt;0,(B12-C12)/ABS(C12),"-")</f>
        <v>-0.123952760674271</v>
      </c>
    </row>
    <row r="13" customFormat="false" ht="15" hidden="false" customHeight="false" outlineLevel="0" collapsed="false">
      <c r="A13" s="7" t="s">
        <v>136</v>
      </c>
      <c r="B13" s="16" t="n">
        <v>194.55</v>
      </c>
      <c r="C13" s="16" t="n">
        <v>185.43</v>
      </c>
      <c r="D13" s="29" t="n">
        <f aca="false">B13-C13</f>
        <v>9.12000000000001</v>
      </c>
      <c r="E13" s="17" t="n">
        <f aca="false">IF(C13&lt;&gt;0,(B13-C13)/ABS(C13),"-")</f>
        <v>0.0491829801003074</v>
      </c>
    </row>
    <row r="14" customFormat="false" ht="15" hidden="false" customHeight="false" outlineLevel="0" collapsed="false">
      <c r="A14" s="5" t="s">
        <v>137</v>
      </c>
      <c r="B14" s="14" t="n">
        <v>54.88</v>
      </c>
      <c r="C14" s="14" t="n">
        <v>14.95</v>
      </c>
      <c r="D14" s="28" t="n">
        <f aca="false">B14-C14</f>
        <v>39.93</v>
      </c>
      <c r="E14" s="15" t="n">
        <f aca="false">IF(C14&lt;&gt;0,(B14-C14)/ABS(C14),"-")</f>
        <v>2.67090301003345</v>
      </c>
    </row>
    <row r="15" customFormat="false" ht="15" hidden="false" customHeight="false" outlineLevel="0" collapsed="false">
      <c r="A15" s="21" t="s">
        <v>138</v>
      </c>
      <c r="B15" s="22" t="n">
        <f aca="false">SUM(B6:B14)</f>
        <v>7917.71</v>
      </c>
      <c r="C15" s="22" t="n">
        <f aca="false">SUM(C6:C14)</f>
        <v>4735.91</v>
      </c>
      <c r="D15" s="22" t="n">
        <f aca="false">B15-C15</f>
        <v>3181.8</v>
      </c>
      <c r="E15" s="30" t="n">
        <f aca="false">IF(C15&lt;&gt;0,(B15-C15)/ABS(C15),"-")</f>
        <v>0.671845537605233</v>
      </c>
    </row>
    <row r="16" customFormat="false" ht="15" hidden="false" customHeight="false" outlineLevel="0" collapsed="false">
      <c r="A16" s="23" t="s">
        <v>139</v>
      </c>
      <c r="B16" s="23"/>
      <c r="C16" s="23"/>
      <c r="D16" s="23"/>
      <c r="E16" s="23"/>
    </row>
    <row r="17" customFormat="false" ht="15" hidden="false" customHeight="false" outlineLevel="0" collapsed="false">
      <c r="A17" s="5" t="s">
        <v>140</v>
      </c>
      <c r="B17" s="14" t="n">
        <v>1821.56</v>
      </c>
      <c r="C17" s="14" t="n">
        <v>1881.19</v>
      </c>
      <c r="D17" s="28" t="n">
        <f aca="false">B17-C17</f>
        <v>-59.6300000000001</v>
      </c>
      <c r="E17" s="15" t="n">
        <f aca="false">IF(C17&lt;&gt;0,(B17-C17)/ABS(C17),"-")</f>
        <v>-0.0316980209335581</v>
      </c>
    </row>
    <row r="18" customFormat="false" ht="15" hidden="false" customHeight="false" outlineLevel="0" collapsed="false">
      <c r="A18" s="7" t="s">
        <v>141</v>
      </c>
      <c r="B18" s="16" t="n">
        <v>711.85</v>
      </c>
      <c r="C18" s="16" t="n">
        <v>0</v>
      </c>
      <c r="D18" s="29" t="n">
        <f aca="false">B18-C18</f>
        <v>711.85</v>
      </c>
      <c r="E18" s="17" t="str">
        <f aca="false">IF(C18&lt;&gt;0,(B18-C18)/ABS(C18),"-")</f>
        <v>-</v>
      </c>
    </row>
    <row r="19" customFormat="false" ht="15" hidden="false" customHeight="false" outlineLevel="0" collapsed="false">
      <c r="A19" s="5" t="s">
        <v>142</v>
      </c>
      <c r="B19" s="14" t="n">
        <v>107.53</v>
      </c>
      <c r="C19" s="14" t="n">
        <v>139.45</v>
      </c>
      <c r="D19" s="28" t="n">
        <f aca="false">B19-C19</f>
        <v>-31.92</v>
      </c>
      <c r="E19" s="15" t="n">
        <f aca="false">IF(C19&lt;&gt;0,(B19-C19)/ABS(C19),"-")</f>
        <v>-0.22889924704195</v>
      </c>
    </row>
    <row r="20" customFormat="false" ht="15" hidden="false" customHeight="false" outlineLevel="0" collapsed="false">
      <c r="A20" s="7" t="s">
        <v>143</v>
      </c>
      <c r="B20" s="16" t="n">
        <v>2347.49</v>
      </c>
      <c r="C20" s="16" t="n">
        <v>1793.52</v>
      </c>
      <c r="D20" s="29" t="n">
        <f aca="false">B20-C20</f>
        <v>553.97</v>
      </c>
      <c r="E20" s="17" t="n">
        <f aca="false">IF(C20&lt;&gt;0,(B20-C20)/ABS(C20),"-")</f>
        <v>0.308873054105892</v>
      </c>
    </row>
    <row r="21" customFormat="false" ht="15" hidden="false" customHeight="false" outlineLevel="0" collapsed="false">
      <c r="A21" s="5" t="s">
        <v>144</v>
      </c>
      <c r="B21" s="14" t="n">
        <v>1019.43</v>
      </c>
      <c r="C21" s="14" t="n">
        <v>846.73</v>
      </c>
      <c r="D21" s="28" t="n">
        <f aca="false">B21-C21</f>
        <v>172.7</v>
      </c>
      <c r="E21" s="15" t="n">
        <f aca="false">IF(C21&lt;&gt;0,(B21-C21)/ABS(C21),"-")</f>
        <v>0.203961121018506</v>
      </c>
    </row>
    <row r="22" customFormat="false" ht="15" hidden="false" customHeight="false" outlineLevel="0" collapsed="false">
      <c r="A22" s="7" t="s">
        <v>145</v>
      </c>
      <c r="B22" s="16" t="n">
        <v>1542.12</v>
      </c>
      <c r="C22" s="16" t="n">
        <v>31.17</v>
      </c>
      <c r="D22" s="29" t="n">
        <f aca="false">B22-C22</f>
        <v>1510.95</v>
      </c>
      <c r="E22" s="17" t="n">
        <f aca="false">IF(C22&lt;&gt;0,(B22-C22)/ABS(C22),"-")</f>
        <v>48.4744947064485</v>
      </c>
    </row>
    <row r="23" customFormat="false" ht="15" hidden="false" customHeight="false" outlineLevel="0" collapsed="false">
      <c r="A23" s="5" t="s">
        <v>146</v>
      </c>
      <c r="B23" s="14" t="n">
        <v>367.73</v>
      </c>
      <c r="C23" s="14" t="n">
        <v>43.84</v>
      </c>
      <c r="D23" s="28" t="n">
        <f aca="false">B23-C23</f>
        <v>323.89</v>
      </c>
      <c r="E23" s="15" t="n">
        <f aca="false">IF(C23&lt;&gt;0,(B23-C23)/ABS(C23),"-")</f>
        <v>7.38800182481752</v>
      </c>
    </row>
    <row r="24" customFormat="false" ht="15" hidden="false" customHeight="false" outlineLevel="0" collapsed="false">
      <c r="A24" s="21" t="s">
        <v>147</v>
      </c>
      <c r="B24" s="22" t="n">
        <f aca="false">SUM(B17:B23)</f>
        <v>7917.71</v>
      </c>
      <c r="C24" s="22" t="n">
        <f aca="false">SUM(C17:C23)</f>
        <v>4735.9</v>
      </c>
      <c r="D24" s="22" t="n">
        <f aca="false">B24-C24</f>
        <v>3181.81</v>
      </c>
      <c r="E24" s="30" t="n">
        <f aca="false">IF(C24&lt;&gt;0,(B24-C24)/ABS(C24),"-")</f>
        <v>0.671849067759032</v>
      </c>
    </row>
    <row r="26" customFormat="false" ht="15" hidden="false" customHeight="false" outlineLevel="0" collapsed="false">
      <c r="A26" s="3" t="s">
        <v>148</v>
      </c>
      <c r="B26" s="3"/>
      <c r="C26" s="3"/>
      <c r="D26" s="3"/>
      <c r="E26" s="3"/>
    </row>
    <row r="27" customFormat="false" ht="15" hidden="false" customHeight="false" outlineLevel="0" collapsed="false">
      <c r="A27" s="8" t="s">
        <v>149</v>
      </c>
      <c r="B27" s="9" t="s">
        <v>87</v>
      </c>
      <c r="C27" s="9" t="s">
        <v>88</v>
      </c>
      <c r="D27" s="9" t="s">
        <v>150</v>
      </c>
      <c r="E27" s="8" t="s">
        <v>151</v>
      </c>
    </row>
    <row r="28" customFormat="false" ht="23.85" hidden="false" customHeight="false" outlineLevel="0" collapsed="false">
      <c r="A28" s="10" t="s">
        <v>152</v>
      </c>
      <c r="B28" s="31" t="n">
        <v>3.26</v>
      </c>
      <c r="C28" s="31" t="n">
        <v>1.77</v>
      </c>
      <c r="D28" s="12" t="s">
        <v>153</v>
      </c>
      <c r="E28" s="32" t="s">
        <v>154</v>
      </c>
    </row>
    <row r="29" customFormat="false" ht="15" hidden="false" customHeight="false" outlineLevel="0" collapsed="false">
      <c r="A29" s="11" t="s">
        <v>155</v>
      </c>
      <c r="B29" s="33" t="n">
        <v>0.42</v>
      </c>
      <c r="C29" s="33" t="n">
        <v>1.35</v>
      </c>
      <c r="D29" s="13" t="s">
        <v>156</v>
      </c>
      <c r="E29" s="32" t="s">
        <v>157</v>
      </c>
    </row>
    <row r="30" customFormat="false" ht="15" hidden="false" customHeight="false" outlineLevel="0" collapsed="false">
      <c r="A30" s="10" t="s">
        <v>158</v>
      </c>
      <c r="B30" s="31" t="n">
        <v>5.54</v>
      </c>
      <c r="C30" s="31" t="n">
        <v>3.38</v>
      </c>
      <c r="D30" s="12" t="s">
        <v>159</v>
      </c>
      <c r="E30" s="32" t="s">
        <v>160</v>
      </c>
    </row>
    <row r="31" customFormat="false" ht="23.85" hidden="false" customHeight="false" outlineLevel="0" collapsed="false">
      <c r="A31" s="11" t="s">
        <v>161</v>
      </c>
      <c r="B31" s="33" t="n">
        <v>0.66</v>
      </c>
      <c r="C31" s="33" t="n">
        <v>0.51</v>
      </c>
      <c r="D31" s="13" t="s">
        <v>153</v>
      </c>
      <c r="E31" s="34" t="s">
        <v>162</v>
      </c>
    </row>
    <row r="32" customFormat="false" ht="15" hidden="false" customHeight="false" outlineLevel="0" collapsed="false">
      <c r="A32" s="10" t="s">
        <v>163</v>
      </c>
      <c r="B32" s="26" t="n">
        <v>0.1822</v>
      </c>
      <c r="C32" s="26" t="n">
        <v>0.2329</v>
      </c>
      <c r="D32" s="12" t="s">
        <v>164</v>
      </c>
      <c r="E32" s="32" t="s">
        <v>165</v>
      </c>
    </row>
    <row r="33" customFormat="false" ht="15" hidden="false" customHeight="false" outlineLevel="0" collapsed="false">
      <c r="A33" s="11" t="s">
        <v>166</v>
      </c>
      <c r="B33" s="25" t="n">
        <v>0.144</v>
      </c>
      <c r="C33" s="25" t="n">
        <v>0.1744</v>
      </c>
      <c r="D33" s="13" t="s">
        <v>167</v>
      </c>
      <c r="E33" s="32" t="s">
        <v>168</v>
      </c>
    </row>
    <row r="34" customFormat="false" ht="15" hidden="false" customHeight="false" outlineLevel="0" collapsed="false">
      <c r="A34" s="10" t="s">
        <v>169</v>
      </c>
      <c r="B34" s="26" t="n">
        <v>0.0887</v>
      </c>
      <c r="C34" s="26" t="n">
        <v>0.0731</v>
      </c>
      <c r="D34" s="12" t="s">
        <v>170</v>
      </c>
      <c r="E34" s="32" t="s">
        <v>171</v>
      </c>
    </row>
    <row r="35" customFormat="false" ht="15" hidden="false" customHeight="false" outlineLevel="0" collapsed="false">
      <c r="A35" s="11" t="s">
        <v>172</v>
      </c>
      <c r="B35" s="25" t="n">
        <v>0.1531</v>
      </c>
      <c r="C35" s="25" t="n">
        <v>0.1573</v>
      </c>
      <c r="D35" s="13" t="s">
        <v>167</v>
      </c>
      <c r="E35" s="32" t="s">
        <v>173</v>
      </c>
    </row>
    <row r="36" customFormat="false" ht="23.85" hidden="false" customHeight="false" outlineLevel="0" collapsed="false">
      <c r="A36" s="10" t="s">
        <v>174</v>
      </c>
      <c r="B36" s="31" t="n">
        <v>3.39</v>
      </c>
      <c r="C36" s="31" t="n">
        <v>3.29</v>
      </c>
      <c r="D36" s="12" t="s">
        <v>175</v>
      </c>
      <c r="E36" s="34" t="s">
        <v>176</v>
      </c>
    </row>
    <row r="37" customFormat="false" ht="15" hidden="false" customHeight="false" outlineLevel="0" collapsed="false">
      <c r="A37" s="11" t="s">
        <v>177</v>
      </c>
      <c r="B37" s="33" t="n">
        <v>7.52</v>
      </c>
      <c r="C37" s="33" t="n">
        <v>5.74</v>
      </c>
      <c r="D37" s="13" t="s">
        <v>178</v>
      </c>
      <c r="E37" s="32" t="s">
        <v>179</v>
      </c>
    </row>
    <row r="38" customFormat="false" ht="15" hidden="false" customHeight="false" outlineLevel="0" collapsed="false">
      <c r="A38" s="10" t="s">
        <v>180</v>
      </c>
      <c r="B38" s="31" t="n">
        <v>24.07</v>
      </c>
      <c r="C38" s="31" t="n">
        <v>9.6</v>
      </c>
      <c r="D38" s="12" t="s">
        <v>181</v>
      </c>
      <c r="E38" s="5" t="s">
        <v>182</v>
      </c>
    </row>
    <row r="39" customFormat="false" ht="15" hidden="false" customHeight="false" outlineLevel="0" collapsed="false">
      <c r="A39" s="11" t="s">
        <v>183</v>
      </c>
      <c r="B39" s="33" t="n">
        <v>1.92</v>
      </c>
      <c r="C39" s="33" t="n">
        <v>4.39</v>
      </c>
      <c r="D39" s="13" t="s">
        <v>181</v>
      </c>
      <c r="E39" s="7" t="s">
        <v>184</v>
      </c>
    </row>
  </sheetData>
  <mergeCells count="5">
    <mergeCell ref="A1:D1"/>
    <mergeCell ref="A3:E3"/>
    <mergeCell ref="A5:E5"/>
    <mergeCell ref="A16:E16"/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1" t="s">
        <v>185</v>
      </c>
      <c r="B1" s="1"/>
      <c r="C1" s="1"/>
    </row>
    <row r="3" customFormat="false" ht="15" hidden="false" customHeight="false" outlineLevel="0" collapsed="false">
      <c r="A3" s="3" t="s">
        <v>186</v>
      </c>
      <c r="B3" s="3"/>
      <c r="C3" s="3"/>
    </row>
    <row r="4" customFormat="false" ht="15" hidden="false" customHeight="false" outlineLevel="0" collapsed="false">
      <c r="A4" s="8" t="s">
        <v>86</v>
      </c>
      <c r="B4" s="9" t="s">
        <v>87</v>
      </c>
      <c r="C4" s="9" t="s">
        <v>88</v>
      </c>
    </row>
    <row r="5" customFormat="false" ht="15" hidden="false" customHeight="false" outlineLevel="0" collapsed="false">
      <c r="A5" s="23" t="s">
        <v>187</v>
      </c>
      <c r="B5" s="23"/>
      <c r="C5" s="23"/>
    </row>
    <row r="6" customFormat="false" ht="15" hidden="false" customHeight="false" outlineLevel="0" collapsed="false">
      <c r="A6" s="5" t="s">
        <v>188</v>
      </c>
      <c r="B6" s="14" t="n">
        <v>849.76</v>
      </c>
      <c r="C6" s="14" t="n">
        <v>507.03</v>
      </c>
    </row>
    <row r="7" customFormat="false" ht="15" hidden="false" customHeight="false" outlineLevel="0" collapsed="false">
      <c r="A7" s="7" t="s">
        <v>189</v>
      </c>
      <c r="B7" s="16" t="n">
        <v>102.7</v>
      </c>
      <c r="C7" s="16" t="n">
        <v>102.25</v>
      </c>
    </row>
    <row r="8" customFormat="false" ht="15" hidden="false" customHeight="false" outlineLevel="0" collapsed="false">
      <c r="A8" s="5" t="s">
        <v>190</v>
      </c>
      <c r="B8" s="14" t="n">
        <v>0</v>
      </c>
      <c r="C8" s="14" t="n">
        <v>-19.6</v>
      </c>
    </row>
    <row r="9" customFormat="false" ht="15" hidden="false" customHeight="false" outlineLevel="0" collapsed="false">
      <c r="A9" s="7" t="s">
        <v>191</v>
      </c>
      <c r="B9" s="16" t="n">
        <v>-64.98</v>
      </c>
      <c r="C9" s="16" t="n">
        <v>-7.97</v>
      </c>
    </row>
    <row r="10" customFormat="false" ht="15" hidden="false" customHeight="false" outlineLevel="0" collapsed="false">
      <c r="A10" s="5" t="s">
        <v>192</v>
      </c>
      <c r="B10" s="14" t="n">
        <v>187.19</v>
      </c>
      <c r="C10" s="14" t="n">
        <v>212.9</v>
      </c>
    </row>
    <row r="11" customFormat="false" ht="15" hidden="false" customHeight="false" outlineLevel="0" collapsed="false">
      <c r="A11" s="21" t="s">
        <v>193</v>
      </c>
      <c r="B11" s="22" t="n">
        <f aca="false">SUM(B6:B10)</f>
        <v>1074.67</v>
      </c>
      <c r="C11" s="22" t="n">
        <f aca="false">SUM(C6:C10)</f>
        <v>794.61</v>
      </c>
    </row>
    <row r="12" customFormat="false" ht="15" hidden="false" customHeight="false" outlineLevel="0" collapsed="false">
      <c r="A12" s="5" t="s">
        <v>194</v>
      </c>
      <c r="B12" s="14" t="n">
        <v>-172.71</v>
      </c>
      <c r="C12" s="14" t="n">
        <v>110.54</v>
      </c>
    </row>
    <row r="13" customFormat="false" ht="15" hidden="false" customHeight="false" outlineLevel="0" collapsed="false">
      <c r="A13" s="7" t="s">
        <v>195</v>
      </c>
      <c r="B13" s="16" t="n">
        <v>-553.97</v>
      </c>
      <c r="C13" s="16" t="n">
        <v>-440.69</v>
      </c>
    </row>
    <row r="14" customFormat="false" ht="15" hidden="false" customHeight="false" outlineLevel="0" collapsed="false">
      <c r="A14" s="5" t="s">
        <v>196</v>
      </c>
      <c r="B14" s="14" t="n">
        <v>-4.4</v>
      </c>
      <c r="C14" s="14" t="n">
        <v>5.42</v>
      </c>
    </row>
    <row r="15" customFormat="false" ht="15" hidden="false" customHeight="false" outlineLevel="0" collapsed="false">
      <c r="A15" s="7" t="s">
        <v>197</v>
      </c>
      <c r="B15" s="16" t="n">
        <v>0</v>
      </c>
      <c r="C15" s="16" t="n">
        <v>70.45</v>
      </c>
    </row>
    <row r="16" customFormat="false" ht="15" hidden="false" customHeight="false" outlineLevel="0" collapsed="false">
      <c r="A16" s="5" t="s">
        <v>198</v>
      </c>
      <c r="B16" s="14" t="n">
        <v>10.38</v>
      </c>
      <c r="C16" s="14" t="n">
        <v>16.21</v>
      </c>
    </row>
    <row r="17" customFormat="false" ht="15" hidden="false" customHeight="false" outlineLevel="0" collapsed="false">
      <c r="A17" s="7" t="s">
        <v>199</v>
      </c>
      <c r="B17" s="16" t="n">
        <v>-24.55</v>
      </c>
      <c r="C17" s="16" t="n">
        <v>-277.16</v>
      </c>
    </row>
    <row r="18" customFormat="false" ht="15" hidden="false" customHeight="false" outlineLevel="0" collapsed="false">
      <c r="A18" s="5" t="s">
        <v>200</v>
      </c>
      <c r="B18" s="14" t="n">
        <v>9.12</v>
      </c>
      <c r="C18" s="14" t="n">
        <v>88.43</v>
      </c>
    </row>
    <row r="19" customFormat="false" ht="15" hidden="false" customHeight="false" outlineLevel="0" collapsed="false">
      <c r="A19" s="7" t="s">
        <v>201</v>
      </c>
      <c r="B19" s="16" t="n">
        <v>4.68</v>
      </c>
      <c r="C19" s="16" t="n">
        <v>18.39</v>
      </c>
    </row>
    <row r="20" customFormat="false" ht="15" hidden="false" customHeight="false" outlineLevel="0" collapsed="false">
      <c r="A20" s="5" t="s">
        <v>202</v>
      </c>
      <c r="B20" s="14" t="n">
        <v>-6.68</v>
      </c>
      <c r="C20" s="14" t="n">
        <v>14.95</v>
      </c>
    </row>
    <row r="21" customFormat="false" ht="15" hidden="false" customHeight="false" outlineLevel="0" collapsed="false">
      <c r="A21" s="21" t="s">
        <v>203</v>
      </c>
      <c r="B21" s="22" t="n">
        <f aca="false">SUM(B11:B20)</f>
        <v>336.54</v>
      </c>
      <c r="C21" s="22" t="n">
        <f aca="false">SUM(C11:C20)</f>
        <v>401.15</v>
      </c>
    </row>
    <row r="22" customFormat="false" ht="15" hidden="false" customHeight="false" outlineLevel="0" collapsed="false">
      <c r="A22" s="5" t="s">
        <v>204</v>
      </c>
      <c r="B22" s="14" t="n">
        <v>-78.36</v>
      </c>
      <c r="C22" s="14" t="n">
        <v>-83.68</v>
      </c>
    </row>
    <row r="23" customFormat="false" ht="15" hidden="false" customHeight="false" outlineLevel="0" collapsed="false">
      <c r="A23" s="21" t="s">
        <v>205</v>
      </c>
      <c r="B23" s="22" t="n">
        <f aca="false">B21+B22</f>
        <v>258.18</v>
      </c>
      <c r="C23" s="22" t="n">
        <f aca="false">C21+C22</f>
        <v>317.47</v>
      </c>
    </row>
    <row r="24" customFormat="false" ht="15" hidden="false" customHeight="false" outlineLevel="0" collapsed="false">
      <c r="A24" s="23" t="s">
        <v>206</v>
      </c>
      <c r="B24" s="23"/>
      <c r="C24" s="23"/>
    </row>
    <row r="25" customFormat="false" ht="15" hidden="false" customHeight="false" outlineLevel="0" collapsed="false">
      <c r="A25" s="5" t="s">
        <v>207</v>
      </c>
      <c r="B25" s="14" t="n">
        <v>-43.07</v>
      </c>
      <c r="C25" s="14" t="n">
        <v>-92.08</v>
      </c>
    </row>
    <row r="26" customFormat="false" ht="15" hidden="false" customHeight="false" outlineLevel="0" collapsed="false">
      <c r="A26" s="7" t="s">
        <v>208</v>
      </c>
      <c r="B26" s="16" t="n">
        <v>-711.85</v>
      </c>
      <c r="C26" s="16" t="n">
        <v>0</v>
      </c>
    </row>
    <row r="27" customFormat="false" ht="15" hidden="false" customHeight="false" outlineLevel="0" collapsed="false">
      <c r="A27" s="5" t="s">
        <v>209</v>
      </c>
      <c r="B27" s="14" t="n">
        <v>-319.49</v>
      </c>
      <c r="C27" s="14" t="n">
        <v>0</v>
      </c>
    </row>
    <row r="28" customFormat="false" ht="15" hidden="false" customHeight="false" outlineLevel="0" collapsed="false">
      <c r="A28" s="7" t="s">
        <v>210</v>
      </c>
      <c r="B28" s="16" t="n">
        <v>64.98</v>
      </c>
      <c r="C28" s="16" t="n">
        <v>7.97</v>
      </c>
    </row>
    <row r="29" customFormat="false" ht="15" hidden="false" customHeight="false" outlineLevel="0" collapsed="false">
      <c r="A29" s="18" t="s">
        <v>211</v>
      </c>
      <c r="B29" s="19" t="n">
        <f aca="false">SUM(B25:B28)</f>
        <v>-1009.43</v>
      </c>
      <c r="C29" s="19" t="n">
        <f aca="false">SUM(C25:C28)</f>
        <v>-84.11</v>
      </c>
    </row>
    <row r="30" customFormat="false" ht="15" hidden="false" customHeight="false" outlineLevel="0" collapsed="false">
      <c r="A30" s="23" t="s">
        <v>212</v>
      </c>
      <c r="B30" s="23"/>
      <c r="C30" s="23"/>
    </row>
    <row r="31" customFormat="false" ht="15" hidden="false" customHeight="false" outlineLevel="0" collapsed="false">
      <c r="A31" s="7" t="s">
        <v>213</v>
      </c>
      <c r="B31" s="16" t="n">
        <v>-316.53</v>
      </c>
      <c r="C31" s="16" t="n">
        <v>-528.2</v>
      </c>
    </row>
    <row r="32" customFormat="false" ht="15" hidden="false" customHeight="false" outlineLevel="0" collapsed="false">
      <c r="A32" s="5" t="s">
        <v>214</v>
      </c>
      <c r="B32" s="14" t="n">
        <v>58.6</v>
      </c>
      <c r="C32" s="14" t="n">
        <v>518.95</v>
      </c>
    </row>
    <row r="33" customFormat="false" ht="15" hidden="false" customHeight="false" outlineLevel="0" collapsed="false">
      <c r="A33" s="7" t="s">
        <v>215</v>
      </c>
      <c r="B33" s="16" t="n">
        <v>2707.34</v>
      </c>
      <c r="C33" s="16" t="n">
        <v>0</v>
      </c>
    </row>
    <row r="34" customFormat="false" ht="15" hidden="false" customHeight="false" outlineLevel="0" collapsed="false">
      <c r="A34" s="5" t="s">
        <v>216</v>
      </c>
      <c r="B34" s="14" t="n">
        <v>-187.19</v>
      </c>
      <c r="C34" s="14" t="n">
        <v>-212.9</v>
      </c>
    </row>
    <row r="35" customFormat="false" ht="15" hidden="false" customHeight="false" outlineLevel="0" collapsed="false">
      <c r="A35" s="21" t="s">
        <v>217</v>
      </c>
      <c r="B35" s="22" t="n">
        <f aca="false">SUM(B31:B34)</f>
        <v>2262.22</v>
      </c>
      <c r="C35" s="22" t="n">
        <f aca="false">SUM(C31:C34)</f>
        <v>-222.15</v>
      </c>
    </row>
    <row r="36" customFormat="false" ht="15" hidden="false" customHeight="false" outlineLevel="0" collapsed="false">
      <c r="A36" s="23" t="s">
        <v>218</v>
      </c>
      <c r="B36" s="23"/>
      <c r="C36" s="23"/>
    </row>
    <row r="37" customFormat="false" ht="15" hidden="false" customHeight="false" outlineLevel="0" collapsed="false">
      <c r="A37" s="18" t="s">
        <v>219</v>
      </c>
      <c r="B37" s="19" t="n">
        <f aca="false">B23+B29+B35</f>
        <v>1510.97</v>
      </c>
      <c r="C37" s="19" t="n">
        <f aca="false">C23+C29+C35</f>
        <v>11.21</v>
      </c>
    </row>
    <row r="38" customFormat="false" ht="15" hidden="false" customHeight="false" outlineLevel="0" collapsed="false">
      <c r="A38" s="7" t="s">
        <v>220</v>
      </c>
      <c r="B38" s="16" t="n">
        <v>31.17</v>
      </c>
      <c r="C38" s="16" t="n">
        <v>19.98</v>
      </c>
    </row>
    <row r="39" customFormat="false" ht="15" hidden="false" customHeight="false" outlineLevel="0" collapsed="false">
      <c r="A39" s="18" t="s">
        <v>221</v>
      </c>
      <c r="B39" s="19" t="n">
        <f aca="false">B37+B38</f>
        <v>1542.14</v>
      </c>
      <c r="C39" s="19" t="n">
        <f aca="false">C37+C38</f>
        <v>31.19</v>
      </c>
    </row>
    <row r="41" customFormat="false" ht="15" hidden="false" customHeight="false" outlineLevel="0" collapsed="false">
      <c r="A41" s="3" t="s">
        <v>222</v>
      </c>
      <c r="B41" s="3"/>
      <c r="C41" s="3"/>
    </row>
    <row r="42" customFormat="false" ht="15" hidden="false" customHeight="false" outlineLevel="0" collapsed="false">
      <c r="A42" s="23" t="s">
        <v>107</v>
      </c>
      <c r="B42" s="24" t="s">
        <v>87</v>
      </c>
      <c r="C42" s="24" t="s">
        <v>88</v>
      </c>
    </row>
    <row r="43" customFormat="false" ht="15" hidden="false" customHeight="false" outlineLevel="0" collapsed="false">
      <c r="A43" s="5" t="s">
        <v>223</v>
      </c>
      <c r="B43" s="28" t="n">
        <f aca="false">B23</f>
        <v>258.18</v>
      </c>
      <c r="C43" s="28" t="n">
        <f aca="false">C23</f>
        <v>317.47</v>
      </c>
    </row>
    <row r="44" customFormat="false" ht="23.85" hidden="false" customHeight="false" outlineLevel="0" collapsed="false">
      <c r="A44" s="7" t="s">
        <v>224</v>
      </c>
      <c r="B44" s="29" t="n">
        <f aca="false">B25+B26+B27</f>
        <v>-1074.41</v>
      </c>
      <c r="C44" s="29" t="n">
        <f aca="false">C25+C26+C27</f>
        <v>-92.08</v>
      </c>
    </row>
    <row r="45" customFormat="false" ht="15" hidden="false" customHeight="false" outlineLevel="0" collapsed="false">
      <c r="A45" s="35" t="s">
        <v>225</v>
      </c>
      <c r="B45" s="19" t="n">
        <f aca="false">B43+B44</f>
        <v>-816.23</v>
      </c>
      <c r="C45" s="19" t="n">
        <f aca="false">C43+C44</f>
        <v>225.39</v>
      </c>
    </row>
    <row r="46" customFormat="false" ht="32.8" hidden="false" customHeight="true" outlineLevel="0" collapsed="false">
      <c r="A46" s="36" t="s">
        <v>226</v>
      </c>
      <c r="B46" s="36"/>
      <c r="C46" s="36"/>
    </row>
  </sheetData>
  <mergeCells count="8">
    <mergeCell ref="A1:C1"/>
    <mergeCell ref="A3:C3"/>
    <mergeCell ref="A5:C5"/>
    <mergeCell ref="A24:C24"/>
    <mergeCell ref="A30:C30"/>
    <mergeCell ref="A36:C36"/>
    <mergeCell ref="A41:C41"/>
    <mergeCell ref="A46:C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12"/>
    <col collapsed="false" customWidth="true" hidden="false" outlineLevel="0" max="6" min="6" style="0" width="52"/>
    <col collapsed="false" customWidth="true" hidden="false" outlineLevel="0" max="7" min="7" style="0" width="24"/>
  </cols>
  <sheetData>
    <row r="1" customFormat="false" ht="17.35" hidden="false" customHeight="false" outlineLevel="0" collapsed="false">
      <c r="A1" s="1" t="s">
        <v>227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3" t="s">
        <v>228</v>
      </c>
      <c r="B3" s="3"/>
      <c r="C3" s="3"/>
      <c r="D3" s="3"/>
      <c r="E3" s="3"/>
      <c r="F3" s="3"/>
      <c r="G3" s="3"/>
    </row>
    <row r="4" customFormat="false" ht="30" hidden="false" customHeight="true" outlineLevel="0" collapsed="false">
      <c r="A4" s="9" t="s">
        <v>229</v>
      </c>
      <c r="B4" s="8" t="s">
        <v>230</v>
      </c>
      <c r="C4" s="9" t="s">
        <v>231</v>
      </c>
      <c r="D4" s="9" t="s">
        <v>232</v>
      </c>
      <c r="E4" s="9" t="s">
        <v>233</v>
      </c>
      <c r="F4" s="8" t="s">
        <v>234</v>
      </c>
      <c r="G4" s="8" t="s">
        <v>235</v>
      </c>
    </row>
    <row r="5" customFormat="false" ht="35.05" hidden="false" customHeight="false" outlineLevel="0" collapsed="false">
      <c r="A5" s="13" t="n">
        <v>1</v>
      </c>
      <c r="B5" s="21" t="s">
        <v>236</v>
      </c>
      <c r="C5" s="37" t="n">
        <v>4</v>
      </c>
      <c r="D5" s="37" t="n">
        <v>3</v>
      </c>
      <c r="E5" s="38" t="n">
        <f aca="false">C5*D5</f>
        <v>12</v>
      </c>
      <c r="F5" s="7" t="s">
        <v>237</v>
      </c>
      <c r="G5" s="7" t="s">
        <v>238</v>
      </c>
    </row>
    <row r="6" customFormat="false" ht="35.05" hidden="false" customHeight="false" outlineLevel="0" collapsed="false">
      <c r="A6" s="12" t="n">
        <v>2</v>
      </c>
      <c r="B6" s="18" t="s">
        <v>239</v>
      </c>
      <c r="C6" s="39" t="n">
        <v>4</v>
      </c>
      <c r="D6" s="39" t="n">
        <v>4</v>
      </c>
      <c r="E6" s="40" t="n">
        <f aca="false">C6*D6</f>
        <v>16</v>
      </c>
      <c r="F6" s="5" t="s">
        <v>240</v>
      </c>
      <c r="G6" s="5" t="s">
        <v>241</v>
      </c>
    </row>
    <row r="7" customFormat="false" ht="35.05" hidden="false" customHeight="false" outlineLevel="0" collapsed="false">
      <c r="A7" s="13" t="n">
        <v>3</v>
      </c>
      <c r="B7" s="21" t="s">
        <v>242</v>
      </c>
      <c r="C7" s="37" t="n">
        <v>3</v>
      </c>
      <c r="D7" s="37" t="n">
        <v>4</v>
      </c>
      <c r="E7" s="38" t="n">
        <f aca="false">C7*D7</f>
        <v>12</v>
      </c>
      <c r="F7" s="7" t="s">
        <v>243</v>
      </c>
      <c r="G7" s="7" t="s">
        <v>244</v>
      </c>
    </row>
    <row r="8" customFormat="false" ht="35.05" hidden="false" customHeight="false" outlineLevel="0" collapsed="false">
      <c r="A8" s="12" t="n">
        <v>4</v>
      </c>
      <c r="B8" s="18" t="s">
        <v>245</v>
      </c>
      <c r="C8" s="39" t="n">
        <v>3</v>
      </c>
      <c r="D8" s="39" t="n">
        <v>3</v>
      </c>
      <c r="E8" s="38" t="n">
        <f aca="false">C8*D8</f>
        <v>9</v>
      </c>
      <c r="F8" s="5" t="s">
        <v>246</v>
      </c>
      <c r="G8" s="5" t="s">
        <v>247</v>
      </c>
    </row>
    <row r="9" customFormat="false" ht="23.85" hidden="false" customHeight="false" outlineLevel="0" collapsed="false">
      <c r="A9" s="13" t="n">
        <v>5</v>
      </c>
      <c r="B9" s="21" t="s">
        <v>248</v>
      </c>
      <c r="C9" s="37" t="n">
        <v>3</v>
      </c>
      <c r="D9" s="37" t="n">
        <v>3</v>
      </c>
      <c r="E9" s="38" t="n">
        <f aca="false">C9*D9</f>
        <v>9</v>
      </c>
      <c r="F9" s="7" t="s">
        <v>249</v>
      </c>
      <c r="G9" s="7" t="s">
        <v>250</v>
      </c>
    </row>
    <row r="10" customFormat="false" ht="35.05" hidden="false" customHeight="false" outlineLevel="0" collapsed="false">
      <c r="A10" s="12" t="n">
        <v>6</v>
      </c>
      <c r="B10" s="18" t="s">
        <v>251</v>
      </c>
      <c r="C10" s="39" t="n">
        <v>2</v>
      </c>
      <c r="D10" s="39" t="n">
        <v>3</v>
      </c>
      <c r="E10" s="41" t="n">
        <f aca="false">C10*D10</f>
        <v>6</v>
      </c>
      <c r="F10" s="5" t="s">
        <v>252</v>
      </c>
      <c r="G10" s="5" t="s">
        <v>253</v>
      </c>
    </row>
    <row r="11" customFormat="false" ht="35.05" hidden="false" customHeight="false" outlineLevel="0" collapsed="false">
      <c r="A11" s="13" t="n">
        <v>7</v>
      </c>
      <c r="B11" s="21" t="s">
        <v>254</v>
      </c>
      <c r="C11" s="37" t="n">
        <v>2</v>
      </c>
      <c r="D11" s="37" t="n">
        <v>3</v>
      </c>
      <c r="E11" s="41" t="n">
        <f aca="false">C11*D11</f>
        <v>6</v>
      </c>
      <c r="F11" s="7" t="s">
        <v>255</v>
      </c>
      <c r="G11" s="7" t="s">
        <v>256</v>
      </c>
    </row>
    <row r="12" customFormat="false" ht="35.05" hidden="false" customHeight="false" outlineLevel="0" collapsed="false">
      <c r="A12" s="12" t="n">
        <v>8</v>
      </c>
      <c r="B12" s="18" t="s">
        <v>257</v>
      </c>
      <c r="C12" s="39" t="n">
        <v>3</v>
      </c>
      <c r="D12" s="39" t="n">
        <v>2</v>
      </c>
      <c r="E12" s="41" t="n">
        <f aca="false">C12*D12</f>
        <v>6</v>
      </c>
      <c r="F12" s="5" t="s">
        <v>258</v>
      </c>
      <c r="G12" s="5" t="s">
        <v>259</v>
      </c>
    </row>
    <row r="13" customFormat="false" ht="35.05" hidden="false" customHeight="false" outlineLevel="0" collapsed="false">
      <c r="A13" s="13" t="n">
        <v>9</v>
      </c>
      <c r="B13" s="21" t="s">
        <v>260</v>
      </c>
      <c r="C13" s="37" t="n">
        <v>2</v>
      </c>
      <c r="D13" s="37" t="n">
        <v>2</v>
      </c>
      <c r="E13" s="41" t="n">
        <f aca="false">C13*D13</f>
        <v>4</v>
      </c>
      <c r="F13" s="7" t="s">
        <v>261</v>
      </c>
      <c r="G13" s="7" t="s">
        <v>262</v>
      </c>
    </row>
    <row r="14" customFormat="false" ht="35.05" hidden="false" customHeight="false" outlineLevel="0" collapsed="false">
      <c r="A14" s="12" t="n">
        <v>10</v>
      </c>
      <c r="B14" s="18" t="s">
        <v>263</v>
      </c>
      <c r="C14" s="39" t="n">
        <v>3</v>
      </c>
      <c r="D14" s="39" t="n">
        <v>3</v>
      </c>
      <c r="E14" s="38" t="n">
        <f aca="false">C14*D14</f>
        <v>9</v>
      </c>
      <c r="F14" s="5" t="s">
        <v>264</v>
      </c>
      <c r="G14" s="5" t="s">
        <v>265</v>
      </c>
    </row>
    <row r="15" customFormat="false" ht="35.05" hidden="false" customHeight="false" outlineLevel="0" collapsed="false">
      <c r="A15" s="13" t="n">
        <v>11</v>
      </c>
      <c r="B15" s="21" t="s">
        <v>266</v>
      </c>
      <c r="C15" s="37" t="n">
        <v>2</v>
      </c>
      <c r="D15" s="37" t="n">
        <v>3</v>
      </c>
      <c r="E15" s="41" t="n">
        <f aca="false">C15*D15</f>
        <v>6</v>
      </c>
      <c r="F15" s="7" t="s">
        <v>267</v>
      </c>
      <c r="G15" s="7" t="s">
        <v>268</v>
      </c>
    </row>
    <row r="16" customFormat="false" ht="35.05" hidden="false" customHeight="false" outlineLevel="0" collapsed="false">
      <c r="A16" s="12" t="n">
        <v>12</v>
      </c>
      <c r="B16" s="18" t="s">
        <v>269</v>
      </c>
      <c r="C16" s="39" t="n">
        <v>2</v>
      </c>
      <c r="D16" s="39" t="n">
        <v>2</v>
      </c>
      <c r="E16" s="41" t="n">
        <f aca="false">C16*D16</f>
        <v>4</v>
      </c>
      <c r="F16" s="5" t="s">
        <v>270</v>
      </c>
      <c r="G16" s="5" t="s">
        <v>271</v>
      </c>
    </row>
    <row r="17" customFormat="false" ht="35.05" hidden="false" customHeight="false" outlineLevel="0" collapsed="false">
      <c r="A17" s="13" t="n">
        <v>13</v>
      </c>
      <c r="B17" s="21" t="s">
        <v>272</v>
      </c>
      <c r="C17" s="37" t="n">
        <v>2</v>
      </c>
      <c r="D17" s="37" t="n">
        <v>2</v>
      </c>
      <c r="E17" s="41" t="n">
        <f aca="false">C17*D17</f>
        <v>4</v>
      </c>
      <c r="F17" s="7" t="s">
        <v>273</v>
      </c>
      <c r="G17" s="7" t="s">
        <v>274</v>
      </c>
    </row>
    <row r="18" customFormat="false" ht="35.05" hidden="false" customHeight="false" outlineLevel="0" collapsed="false">
      <c r="A18" s="12" t="n">
        <v>14</v>
      </c>
      <c r="B18" s="18" t="s">
        <v>275</v>
      </c>
      <c r="C18" s="39" t="n">
        <v>2</v>
      </c>
      <c r="D18" s="39" t="n">
        <v>3</v>
      </c>
      <c r="E18" s="41" t="n">
        <f aca="false">C18*D18</f>
        <v>6</v>
      </c>
      <c r="F18" s="5" t="s">
        <v>276</v>
      </c>
      <c r="G18" s="5" t="s">
        <v>277</v>
      </c>
    </row>
    <row r="20" customFormat="false" ht="15" hidden="false" customHeight="false" outlineLevel="0" collapsed="false">
      <c r="A20" s="42" t="s">
        <v>278</v>
      </c>
    </row>
    <row r="21" customFormat="false" ht="15" hidden="false" customHeight="false" outlineLevel="0" collapsed="false">
      <c r="B21" s="43" t="s">
        <v>279</v>
      </c>
    </row>
    <row r="22" customFormat="false" ht="15" hidden="false" customHeight="false" outlineLevel="0" collapsed="false">
      <c r="B22" s="44" t="s">
        <v>280</v>
      </c>
    </row>
    <row r="23" customFormat="false" ht="15" hidden="false" customHeight="false" outlineLevel="0" collapsed="false">
      <c r="B23" s="45" t="s">
        <v>281</v>
      </c>
    </row>
    <row r="24" customFormat="false" ht="15" hidden="false" customHeight="false" outlineLevel="0" collapsed="false">
      <c r="B24" s="46" t="s">
        <v>282</v>
      </c>
    </row>
  </sheetData>
  <mergeCells count="2">
    <mergeCell ref="A1:G1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56"/>
  </cols>
  <sheetData>
    <row r="1" customFormat="false" ht="17.35" hidden="false" customHeight="false" outlineLevel="0" collapsed="false">
      <c r="A1" s="1" t="s">
        <v>283</v>
      </c>
      <c r="B1" s="1"/>
      <c r="C1" s="1"/>
      <c r="D1" s="1"/>
      <c r="E1" s="1"/>
    </row>
    <row r="3" customFormat="false" ht="15" hidden="false" customHeight="false" outlineLevel="0" collapsed="false">
      <c r="A3" s="3" t="s">
        <v>284</v>
      </c>
      <c r="B3" s="3"/>
      <c r="C3" s="3"/>
      <c r="D3" s="3"/>
      <c r="E3" s="3"/>
    </row>
    <row r="4" customFormat="false" ht="15" hidden="false" customHeight="false" outlineLevel="0" collapsed="false">
      <c r="A4" s="8" t="s">
        <v>285</v>
      </c>
      <c r="B4" s="9" t="s">
        <v>286</v>
      </c>
      <c r="C4" s="9" t="s">
        <v>287</v>
      </c>
      <c r="D4" s="9" t="s">
        <v>288</v>
      </c>
      <c r="E4" s="8" t="s">
        <v>289</v>
      </c>
    </row>
    <row r="5" customFormat="false" ht="15" hidden="false" customHeight="false" outlineLevel="0" collapsed="false">
      <c r="A5" s="35" t="s">
        <v>290</v>
      </c>
      <c r="B5" s="47" t="n">
        <v>0.25</v>
      </c>
      <c r="C5" s="39" t="n">
        <v>7</v>
      </c>
      <c r="D5" s="48" t="n">
        <f aca="false">B5*C5</f>
        <v>1.75</v>
      </c>
      <c r="E5" s="5" t="s">
        <v>291</v>
      </c>
    </row>
    <row r="6" customFormat="false" ht="15" hidden="false" customHeight="false" outlineLevel="0" collapsed="false">
      <c r="A6" s="49" t="s">
        <v>292</v>
      </c>
      <c r="B6" s="50" t="n">
        <v>0.2</v>
      </c>
      <c r="C6" s="37" t="n">
        <v>7</v>
      </c>
      <c r="D6" s="51" t="n">
        <f aca="false">B6*C6</f>
        <v>1.4</v>
      </c>
      <c r="E6" s="7" t="s">
        <v>293</v>
      </c>
    </row>
    <row r="7" customFormat="false" ht="15" hidden="false" customHeight="false" outlineLevel="0" collapsed="false">
      <c r="A7" s="35" t="s">
        <v>294</v>
      </c>
      <c r="B7" s="47" t="n">
        <v>0.15</v>
      </c>
      <c r="C7" s="39" t="n">
        <v>4</v>
      </c>
      <c r="D7" s="48" t="n">
        <f aca="false">B7*C7</f>
        <v>0.6</v>
      </c>
      <c r="E7" s="5" t="s">
        <v>295</v>
      </c>
    </row>
    <row r="8" customFormat="false" ht="15" hidden="false" customHeight="false" outlineLevel="0" collapsed="false">
      <c r="A8" s="49" t="s">
        <v>296</v>
      </c>
      <c r="B8" s="50" t="n">
        <v>0.1</v>
      </c>
      <c r="C8" s="37" t="n">
        <v>7</v>
      </c>
      <c r="D8" s="51" t="n">
        <f aca="false">B8*C8</f>
        <v>0.7</v>
      </c>
      <c r="E8" s="7" t="s">
        <v>297</v>
      </c>
    </row>
    <row r="9" customFormat="false" ht="15" hidden="false" customHeight="false" outlineLevel="0" collapsed="false">
      <c r="A9" s="35" t="s">
        <v>298</v>
      </c>
      <c r="B9" s="47" t="n">
        <v>0.1</v>
      </c>
      <c r="C9" s="39" t="n">
        <v>5</v>
      </c>
      <c r="D9" s="48" t="n">
        <f aca="false">B9*C9</f>
        <v>0.5</v>
      </c>
      <c r="E9" s="5" t="s">
        <v>299</v>
      </c>
    </row>
    <row r="10" customFormat="false" ht="15" hidden="false" customHeight="false" outlineLevel="0" collapsed="false">
      <c r="A10" s="49" t="s">
        <v>300</v>
      </c>
      <c r="B10" s="50" t="n">
        <v>0.1</v>
      </c>
      <c r="C10" s="37" t="n">
        <v>6</v>
      </c>
      <c r="D10" s="51" t="n">
        <f aca="false">B10*C10</f>
        <v>0.6</v>
      </c>
      <c r="E10" s="7" t="s">
        <v>301</v>
      </c>
    </row>
    <row r="11" customFormat="false" ht="23.85" hidden="false" customHeight="false" outlineLevel="0" collapsed="false">
      <c r="A11" s="35" t="s">
        <v>302</v>
      </c>
      <c r="B11" s="47" t="n">
        <v>0.05</v>
      </c>
      <c r="C11" s="39" t="n">
        <v>6</v>
      </c>
      <c r="D11" s="48" t="n">
        <f aca="false">B11*C11</f>
        <v>0.3</v>
      </c>
      <c r="E11" s="5" t="s">
        <v>303</v>
      </c>
    </row>
    <row r="12" customFormat="false" ht="15" hidden="false" customHeight="false" outlineLevel="0" collapsed="false">
      <c r="A12" s="49" t="s">
        <v>304</v>
      </c>
      <c r="B12" s="50" t="n">
        <v>0.05</v>
      </c>
      <c r="C12" s="37" t="n">
        <v>7</v>
      </c>
      <c r="D12" s="51" t="n">
        <f aca="false">B12*C12</f>
        <v>0.35</v>
      </c>
      <c r="E12" s="7" t="s">
        <v>305</v>
      </c>
    </row>
    <row r="13" customFormat="false" ht="15" hidden="false" customHeight="false" outlineLevel="0" collapsed="false">
      <c r="A13" s="52" t="s">
        <v>306</v>
      </c>
      <c r="B13" s="53"/>
      <c r="C13" s="53"/>
      <c r="D13" s="54" t="n">
        <f aca="false">SUM(D5:D12)</f>
        <v>6.2</v>
      </c>
      <c r="E13" s="53"/>
    </row>
    <row r="15" customFormat="false" ht="15" hidden="false" customHeight="false" outlineLevel="0" collapsed="false">
      <c r="A15" s="3" t="s">
        <v>307</v>
      </c>
      <c r="B15" s="3"/>
      <c r="C15" s="3"/>
      <c r="D15" s="3"/>
      <c r="E15" s="3"/>
    </row>
    <row r="16" customFormat="false" ht="15" hidden="false" customHeight="false" outlineLevel="0" collapsed="false">
      <c r="A16" s="55" t="s">
        <v>308</v>
      </c>
      <c r="B16" s="56" t="s">
        <v>309</v>
      </c>
      <c r="C16" s="55" t="s">
        <v>310</v>
      </c>
      <c r="D16" s="55"/>
      <c r="E16" s="55"/>
    </row>
    <row r="17" customFormat="false" ht="15" hidden="false" customHeight="false" outlineLevel="0" collapsed="false">
      <c r="A17" s="55" t="s">
        <v>311</v>
      </c>
      <c r="B17" s="57" t="s">
        <v>312</v>
      </c>
      <c r="C17" s="55" t="s">
        <v>313</v>
      </c>
      <c r="D17" s="55"/>
      <c r="E17" s="55"/>
    </row>
    <row r="18" customFormat="false" ht="15" hidden="false" customHeight="false" outlineLevel="0" collapsed="false">
      <c r="A18" s="55" t="s">
        <v>314</v>
      </c>
      <c r="B18" s="58" t="s">
        <v>315</v>
      </c>
      <c r="C18" s="55" t="s">
        <v>316</v>
      </c>
      <c r="D18" s="55"/>
      <c r="E18" s="55"/>
    </row>
    <row r="19" customFormat="false" ht="15" hidden="false" customHeight="false" outlineLevel="0" collapsed="false">
      <c r="A19" s="55" t="s">
        <v>317</v>
      </c>
      <c r="B19" s="59" t="s">
        <v>318</v>
      </c>
      <c r="C19" s="55" t="s">
        <v>319</v>
      </c>
      <c r="D19" s="55"/>
      <c r="E19" s="55"/>
    </row>
    <row r="20" customFormat="false" ht="15" hidden="false" customHeight="false" outlineLevel="0" collapsed="false">
      <c r="A20" s="55" t="s">
        <v>320</v>
      </c>
      <c r="B20" s="59" t="s">
        <v>321</v>
      </c>
      <c r="C20" s="55" t="s">
        <v>322</v>
      </c>
      <c r="D20" s="55"/>
      <c r="E20" s="55"/>
    </row>
    <row r="22" customFormat="false" ht="78" hidden="false" customHeight="true" outlineLevel="0" collapsed="false">
      <c r="A22" s="60" t="s">
        <v>323</v>
      </c>
      <c r="B22" s="60"/>
      <c r="C22" s="60"/>
      <c r="D22" s="60"/>
      <c r="E22" s="60"/>
    </row>
    <row r="24" customFormat="false" ht="15" hidden="false" customHeight="false" outlineLevel="0" collapsed="false">
      <c r="A24" s="42" t="s">
        <v>324</v>
      </c>
    </row>
    <row r="25" customFormat="false" ht="15" hidden="false" customHeight="false" outlineLevel="0" collapsed="false">
      <c r="A25" s="61" t="s">
        <v>325</v>
      </c>
    </row>
    <row r="26" customFormat="false" ht="15" hidden="false" customHeight="false" outlineLevel="0" collapsed="false">
      <c r="A26" s="62" t="s">
        <v>326</v>
      </c>
    </row>
    <row r="27" customFormat="false" ht="15" hidden="false" customHeight="false" outlineLevel="0" collapsed="false">
      <c r="A27" s="62" t="s">
        <v>327</v>
      </c>
    </row>
  </sheetData>
  <mergeCells count="9">
    <mergeCell ref="A1:E1"/>
    <mergeCell ref="A3:E3"/>
    <mergeCell ref="A15:E15"/>
    <mergeCell ref="C16:E16"/>
    <mergeCell ref="C17:E17"/>
    <mergeCell ref="C18:E18"/>
    <mergeCell ref="C19:E19"/>
    <mergeCell ref="C20:E20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2026-06-16T07:17:08Z</dcterms:created>
  <dc:creator>openpyxl</dc:creator>
  <dc:description/>
  <dc:language>en-US</dc:language>
  <cp:lastModifiedBy/>
  <dcterms:modified xsi:type="dcterms:W3CDTF">2026-06-16T07:17:08Z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