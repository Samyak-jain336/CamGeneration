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Financial Summary" sheetId="2" state="visible" r:id="rId4"/>
    <sheet name="Balance Sheet &amp; Ratios" sheetId="3" state="visible" r:id="rId5"/>
    <sheet name="Risk Assessment" sheetId="4" state="visible" r:id="rId6"/>
    <sheet name="Cash Flow Analysis" sheetId="5" state="visible" r:id="rId7"/>
    <sheet name="Overall Risk Rat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<sst xmlns="http://schemas.openxmlformats.org/spreadsheetml/2006/main" count="350" uniqueCount="315">
  <si>
    <t xml:space="preserve">SAVE RISK FILE — PASSIONFRUIT INC.</t>
  </si>
  <si>
    <t xml:space="preserve">Systematic Assessment and Validation of Enterprise Risk</t>
  </si>
  <si>
    <t xml:space="preserve">1. ENTITY IDENTIFICATION</t>
  </si>
  <si>
    <t xml:space="preserve">Company Name</t>
  </si>
  <si>
    <t xml:space="preserve">Passionfruit Inc.</t>
  </si>
  <si>
    <t xml:space="preserve">CIN / Registration</t>
  </si>
  <si>
    <t xml:space="preserve">File No. 001-39842 (SEC)</t>
  </si>
  <si>
    <t xml:space="preserve">Date of Incorporation</t>
  </si>
  <si>
    <t xml:space="preserve">March 14, 2014</t>
  </si>
  <si>
    <t xml:space="preserve">State of Incorporation</t>
  </si>
  <si>
    <t xml:space="preserve">Delaware, USA</t>
  </si>
  <si>
    <t xml:space="preserve">Registered Office</t>
  </si>
  <si>
    <t xml:space="preserve">1208 Orchard Grove Blvd, Sunnyvale, CA 94089</t>
  </si>
  <si>
    <t xml:space="preserve">Industry / Sector</t>
  </si>
  <si>
    <t xml:space="preserve">Consumer Packaged Goods — Functional Beverages &amp; Smart Devices</t>
  </si>
  <si>
    <t xml:space="preserve">NAICS Code</t>
  </si>
  <si>
    <t xml:space="preserve">312111 — Soft Drink Manufacturing</t>
  </si>
  <si>
    <t xml:space="preserve">Stock Exchange / Ticker</t>
  </si>
  <si>
    <t xml:space="preserve">NASDAQ: PFRT</t>
  </si>
  <si>
    <t xml:space="preserve">Fiscal Year End</t>
  </si>
  <si>
    <t xml:space="preserve">Last Saturday of September</t>
  </si>
  <si>
    <t xml:space="preserve">Assessment Date</t>
  </si>
  <si>
    <t xml:space="preserve">September 27, 2025 (FY2025)</t>
  </si>
  <si>
    <t xml:space="preserve">Auditor</t>
  </si>
  <si>
    <t xml:space="preserve">Ernst &amp; Whitman LLP (PCAOB ID 1492)</t>
  </si>
  <si>
    <t xml:space="preserve">Audit Opinion</t>
  </si>
  <si>
    <t xml:space="preserve">Unqualified</t>
  </si>
  <si>
    <t xml:space="preserve">Credit Rating (S&amp;P / Moody's)</t>
  </si>
  <si>
    <t xml:space="preserve">A- / A3</t>
  </si>
  <si>
    <t xml:space="preserve">2. KEY MANAGEMENT PERSONNEL</t>
  </si>
  <si>
    <t xml:space="preserve">Name</t>
  </si>
  <si>
    <t xml:space="preserve">Designation</t>
  </si>
  <si>
    <t xml:space="preserve">Tenure</t>
  </si>
  <si>
    <t xml:space="preserve">Mira Achebe</t>
  </si>
  <si>
    <t xml:space="preserve">Chair, President &amp; CEO</t>
  </si>
  <si>
    <t xml:space="preserve">Since 2018</t>
  </si>
  <si>
    <t xml:space="preserve">Daniel R. Holloway</t>
  </si>
  <si>
    <t xml:space="preserve">Senior VP &amp; CFO</t>
  </si>
  <si>
    <t xml:space="preserve">Since 2020</t>
  </si>
  <si>
    <t xml:space="preserve">Elena V. Richter</t>
  </si>
  <si>
    <t xml:space="preserve">Senior VP, Global Operations</t>
  </si>
  <si>
    <t xml:space="preserve">Since 2021</t>
  </si>
  <si>
    <t xml:space="preserve">James T. Nakamura</t>
  </si>
  <si>
    <t xml:space="preserve">Senior VP &amp; CTO</t>
  </si>
  <si>
    <t xml:space="preserve">Since 2019</t>
  </si>
  <si>
    <t xml:space="preserve">Priya S. Kapoor</t>
  </si>
  <si>
    <t xml:space="preserve">General Counsel &amp; Secretary</t>
  </si>
  <si>
    <t xml:space="preserve">Since 2022</t>
  </si>
  <si>
    <t xml:space="preserve">3. GROUP STRUCTURE / SUBSIDIARIES</t>
  </si>
  <si>
    <t xml:space="preserve">Entity Name</t>
  </si>
  <si>
    <t xml:space="preserve">Jurisdiction</t>
  </si>
  <si>
    <t xml:space="preserve">Holding %</t>
  </si>
  <si>
    <t xml:space="preserve">Passionfruit Beverages LLC</t>
  </si>
  <si>
    <t xml:space="preserve">Nevada, USA</t>
  </si>
  <si>
    <t xml:space="preserve">100%</t>
  </si>
  <si>
    <t xml:space="preserve">Passionfruit Europe B.V.</t>
  </si>
  <si>
    <t xml:space="preserve">Netherlands</t>
  </si>
  <si>
    <t xml:space="preserve">Passionfruit Asia Pacific Pte Ltd</t>
  </si>
  <si>
    <t xml:space="preserve">Singapore</t>
  </si>
  <si>
    <t xml:space="preserve">HydroSense Technologies, Inc.</t>
  </si>
  <si>
    <t xml:space="preserve">California, USA</t>
  </si>
  <si>
    <t xml:space="preserve">100% (Acquired 2022)</t>
  </si>
  <si>
    <t xml:space="preserve">Passionfruit Ecuador S.A.</t>
  </si>
  <si>
    <t xml:space="preserve">Quito, Ecuador</t>
  </si>
  <si>
    <t xml:space="preserve">FINANCIAL SUMMARY (All figures in USD millions unless stated)</t>
  </si>
  <si>
    <t xml:space="preserve">A. INCOME STATEMENT HIGHLIGHTS</t>
  </si>
  <si>
    <t xml:space="preserve">Particulars</t>
  </si>
  <si>
    <t xml:space="preserve">FY2025</t>
  </si>
  <si>
    <t xml:space="preserve">FY2024</t>
  </si>
  <si>
    <t xml:space="preserve">FY2023</t>
  </si>
  <si>
    <t xml:space="preserve">YoY Change</t>
  </si>
  <si>
    <t xml:space="preserve">CAGR (2yr)</t>
  </si>
  <si>
    <t xml:space="preserve">Product Revenue</t>
  </si>
  <si>
    <t xml:space="preserve">Services Revenue</t>
  </si>
  <si>
    <t xml:space="preserve">Total Net Sales</t>
  </si>
  <si>
    <t xml:space="preserve">Cost of Sales — Products</t>
  </si>
  <si>
    <t xml:space="preserve">Cost of Sales — Services</t>
  </si>
  <si>
    <t xml:space="preserve">Total Cost of Sales</t>
  </si>
  <si>
    <t xml:space="preserve">Gross Profit</t>
  </si>
  <si>
    <t xml:space="preserve">R&amp;D Expense</t>
  </si>
  <si>
    <t xml:space="preserve">SG&amp;A Expense</t>
  </si>
  <si>
    <t xml:space="preserve">Total Operating Expenses</t>
  </si>
  <si>
    <t xml:space="preserve">Operating Income (EBIT)</t>
  </si>
  <si>
    <t xml:space="preserve">Other Income / (Expense), Net</t>
  </si>
  <si>
    <t xml:space="preserve">Income Before Tax</t>
  </si>
  <si>
    <t xml:space="preserve">Provision for Income Taxes</t>
  </si>
  <si>
    <t xml:space="preserve">Net Income</t>
  </si>
  <si>
    <t xml:space="preserve">Diluted EPS ($)</t>
  </si>
  <si>
    <t xml:space="preserve">B. MARGIN ANALYSIS</t>
  </si>
  <si>
    <t xml:space="preserve">Margin Metric</t>
  </si>
  <si>
    <t xml:space="preserve">Change (bps)</t>
  </si>
  <si>
    <t xml:space="preserve">Assessment</t>
  </si>
  <si>
    <t xml:space="preserve">Gross Margin (%)</t>
  </si>
  <si>
    <t xml:space="preserve">Operating Margin (%)</t>
  </si>
  <si>
    <t xml:space="preserve">Net Profit Margin (%)</t>
  </si>
  <si>
    <t xml:space="preserve">R&amp;D as % of Sales</t>
  </si>
  <si>
    <t xml:space="preserve">SG&amp;A as % of Sales</t>
  </si>
  <si>
    <t xml:space="preserve">Effective Tax Rate (%)</t>
  </si>
  <si>
    <t xml:space="preserve">BALANCE SHEET &amp; KEY RATIOS</t>
  </si>
  <si>
    <t xml:space="preserve">A. BALANCE SHEET EXTRACT (USD millions)</t>
  </si>
  <si>
    <t xml:space="preserve">Sep 27, 2025</t>
  </si>
  <si>
    <t xml:space="preserve">Sep 28, 2024</t>
  </si>
  <si>
    <t xml:space="preserve">Change</t>
  </si>
  <si>
    <t xml:space="preserve">% Change</t>
  </si>
  <si>
    <t xml:space="preserve">ASSETS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</si>
  <si>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</si>
  <si>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</si>
  <si>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</si>
  <si>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</si>
  <si>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Vendor Non-Trade Receivables</t>
  </si>
  <si>
    <t xml:space="preserve">Other Current Assets</t>
  </si>
  <si>
    <t xml:space="preserve">Total Current Assets</t>
  </si>
  <si>
    <t xml:space="preserve">Property, Plant &amp; Equipment, net</t>
  </si>
  <si>
    <t xml:space="preserve">Goodwill &amp; Intangibles, net</t>
  </si>
  <si>
    <t xml:space="preserve">Other Non-Current Assets</t>
  </si>
  <si>
    <t xml:space="preserve">Total Assets</t>
  </si>
  <si>
    <t xml:space="preserve">LIABILITIES</t>
  </si>
  <si>
    <t xml:space="preserve">Accounts Payable</t>
  </si>
  <si>
    <t xml:space="preserve">Other Current Liabilities</t>
  </si>
  <si>
    <t xml:space="preserve">Deferred Revenue — Current</t>
  </si>
  <si>
    <t xml:space="preserve">Total Current Liabilities</t>
  </si>
  <si>
    <t xml:space="preserve">Long-Term Debt</t>
  </si>
  <si>
    <t xml:space="preserve">Deferred Revenue — Non-Current</t>
  </si>
  <si>
    <t xml:space="preserve">Other Non-Current Liabilities</t>
  </si>
  <si>
    <t xml:space="preserve">Total Liabilities</t>
  </si>
  <si>
    <t xml:space="preserve">SHAREHOLDERS' EQUITY</t>
  </si>
  <si>
    <t xml:space="preserve">Common Stock &amp; APIC</t>
  </si>
  <si>
    <t xml:space="preserve">Retained Earnings</t>
  </si>
  <si>
    <t xml:space="preserve">Accumulated Other Comprehensive Loss</t>
  </si>
  <si>
    <t xml:space="preserve">Total Shareholders' Equity</t>
  </si>
  <si>
    <t xml:space="preserve">Total Liabilities &amp; Equity</t>
  </si>
  <si>
    <t xml:space="preserve">B. KEY FINANCIAL RATIOS</t>
  </si>
  <si>
    <t xml:space="preserve">Ratio</t>
  </si>
  <si>
    <t xml:space="preserve">Benchmark</t>
  </si>
  <si>
    <t xml:space="preserve">Status</t>
  </si>
  <si>
    <t xml:space="preserve">Remarks</t>
  </si>
  <si>
    <t xml:space="preserve">Current Ratio</t>
  </si>
  <si>
    <t xml:space="preserve">&gt; 1.50</t>
  </si>
  <si>
    <t xml:space="preserve">HEALTHY</t>
  </si>
  <si>
    <t xml:space="preserve">Well above benchmark</t>
  </si>
  <si>
    <t xml:space="preserve">Quick Ratio</t>
  </si>
  <si>
    <t xml:space="preserve">&gt; 1.00</t>
  </si>
  <si>
    <t xml:space="preserve">Strong liquidity position</t>
  </si>
  <si>
    <t xml:space="preserve">Debt-to-Equity Ratio</t>
  </si>
  <si>
    <t xml:space="preserve">&lt; 0.60</t>
  </si>
  <si>
    <t xml:space="preserve">Conservative leverage</t>
  </si>
  <si>
    <t xml:space="preserve">Total Debt / EBITDA</t>
  </si>
  <si>
    <t xml:space="preserve">&lt; 3.00</t>
  </si>
  <si>
    <t xml:space="preserve">Minimal leverage vs cash flow</t>
  </si>
  <si>
    <t xml:space="preserve">Interest Coverage Ratio (ICR)</t>
  </si>
  <si>
    <t xml:space="preserve">&gt; 3.00</t>
  </si>
  <si>
    <t xml:space="preserve">Robust interest coverage</t>
  </si>
  <si>
    <t xml:space="preserve">Debt Service Coverage Ratio (DSCR)</t>
  </si>
  <si>
    <t xml:space="preserve">Strong ability to service debt</t>
  </si>
  <si>
    <t xml:space="preserve">Return on Equity (ROE)</t>
  </si>
  <si>
    <t xml:space="preserve">&gt; 15%</t>
  </si>
  <si>
    <t xml:space="preserve">High return on equity</t>
  </si>
  <si>
    <t xml:space="preserve">Return on Assets (ROA)</t>
  </si>
  <si>
    <t xml:space="preserve">&gt; 8%</t>
  </si>
  <si>
    <t xml:space="preserve">Efficient asset utilization</t>
  </si>
  <si>
    <t xml:space="preserve">Return on Capital Employed (ROCE)</t>
  </si>
  <si>
    <t xml:space="preserve">&gt; 12%</t>
  </si>
  <si>
    <t xml:space="preserve">Strong capital efficiency</t>
  </si>
  <si>
    <t xml:space="preserve">Asset Turnover Ratio</t>
  </si>
  <si>
    <t xml:space="preserve">&gt; 0.60</t>
  </si>
  <si>
    <t xml:space="preserve">Reasonable asset efficiency</t>
  </si>
  <si>
    <t xml:space="preserve">Inventory Days</t>
  </si>
  <si>
    <t xml:space="preserve">&lt; 90</t>
  </si>
  <si>
    <t xml:space="preserve">Efficient inventory management</t>
  </si>
  <si>
    <t xml:space="preserve">Receivable Days</t>
  </si>
  <si>
    <t xml:space="preserve">&lt; 60</t>
  </si>
  <si>
    <t xml:space="preserve">Within acceptable range</t>
  </si>
  <si>
    <t xml:space="preserve">Payable Days</t>
  </si>
  <si>
    <t xml:space="preserve">&gt; 45</t>
  </si>
  <si>
    <t xml:space="preserve">WATCH</t>
  </si>
  <si>
    <t xml:space="preserve">Extended payable cycle</t>
  </si>
  <si>
    <t xml:space="preserve">Cash Conversion Cycle</t>
  </si>
  <si>
    <t xml:space="preserve">Very efficient CCC</t>
  </si>
  <si>
    <t xml:space="preserve">Altman Z-Score</t>
  </si>
  <si>
    <t xml:space="preserve">Safe zone — no distress risk</t>
  </si>
  <si>
    <t xml:space="preserve">RISK ASSESSMENT MATRIX — PASSIONFRUIT INC.</t>
  </si>
  <si>
    <t xml:space="preserve">RISK SCORING: Likelihood (1-5) x Impact (1-5) = Risk Score. ≤6 LOW, 7-14 MEDIUM, 15-20 HIGH, ≥21 CRITICAL</t>
  </si>
  <si>
    <t xml:space="preserve">#</t>
  </si>
  <si>
    <t xml:space="preserve">Risk Category</t>
  </si>
  <si>
    <t xml:space="preserve">Likelihood
(1-5)</t>
  </si>
  <si>
    <t xml:space="preserve">Impact
(1-5)</t>
  </si>
  <si>
    <t xml:space="preserve">Risk Score</t>
  </si>
  <si>
    <t xml:space="preserve">Detailed Description</t>
  </si>
  <si>
    <t xml:space="preserve">Mitigation Status</t>
  </si>
  <si>
    <t xml:space="preserve">Commodity Price Volatility</t>
  </si>
  <si>
    <t xml:space="preserve">Passionfruit concentrate prices rose 14% YoY; mango and chia sourced from weather-sensitive regions</t>
  </si>
  <si>
    <t xml:space="preserve">Active hedging program</t>
  </si>
  <si>
    <t xml:space="preserve">Supply Chain Concentration</t>
  </si>
  <si>
    <t xml:space="preserve">62% of passionfruit from 3 growers in Ecuador/Vietnam; single-source risk for key inputs</t>
  </si>
  <si>
    <t xml:space="preserve">Diversification underway</t>
  </si>
  <si>
    <t xml:space="preserve">Regulatory / Health Claims</t>
  </si>
  <si>
    <t xml:space="preserve">FTC and class action scrutiny on 'naturally energizing' marketing claims; pending litigation in NDCA</t>
  </si>
  <si>
    <t xml:space="preserve">Legal counsel engaged</t>
  </si>
  <si>
    <t xml:space="preserve">Foreign Currency Exposure</t>
  </si>
  <si>
    <t xml:space="preserve">41% of sales outside US; EUR, VND, SGD exposure. Hedging covers ~60% of expected flows</t>
  </si>
  <si>
    <t xml:space="preserve">Partial hedge in place</t>
  </si>
  <si>
    <t xml:space="preserve">Smart Device Quality / Recall</t>
  </si>
  <si>
    <t xml:space="preserve">PulpPod / PulpGo contain pumps, heating elements, and firmware; defects could trigger recalls</t>
  </si>
  <si>
    <t xml:space="preserve">QC program + warranty reserve</t>
  </si>
  <si>
    <t xml:space="preserve">Cybersecurity / Data Breach</t>
  </si>
  <si>
    <t xml:space="preserve">Connected devices and Passionfruit Plus platform collect user health/nutrition data</t>
  </si>
  <si>
    <t xml:space="preserve">NIST framework, SOC2 compliant</t>
  </si>
  <si>
    <t xml:space="preserve">Goodwill Impairment</t>
  </si>
  <si>
    <t xml:space="preserve">Goodwill of $1,025M from HydroSense acquisition; dependent on continued growth</t>
  </si>
  <si>
    <t xml:space="preserve">Annual impairment test passed</t>
  </si>
  <si>
    <t xml:space="preserve">Competition / Pricing Pressure</t>
  </si>
  <si>
    <t xml:space="preserve">Large CPG companies and private-label offerings; aggressive pricing in grocery channel</t>
  </si>
  <si>
    <t xml:space="preserve">Brand differentiation strategy</t>
  </si>
  <si>
    <t xml:space="preserve">Interest Rate Risk</t>
  </si>
  <si>
    <t xml:space="preserve">$1,250M fixed-rate debt; minimal floating exposure; investment portfolio duration managed</t>
  </si>
  <si>
    <t xml:space="preserve">Low exposure</t>
  </si>
  <si>
    <t xml:space="preserve">Key Person Risk</t>
  </si>
  <si>
    <t xml:space="preserve">CEO Mira Achebe is a key driver; succession plan exists but untested</t>
  </si>
  <si>
    <t xml:space="preserve">Board succession plan</t>
  </si>
  <si>
    <t xml:space="preserve">Geopolitical / Trade Risk</t>
  </si>
  <si>
    <t xml:space="preserve">Tariffs on imports from Ecuador; export controls affecting Shenzhen device manufacturing</t>
  </si>
  <si>
    <t xml:space="preserve">Multi-sourcing strategy</t>
  </si>
  <si>
    <t xml:space="preserve">Product Obsolescence</t>
  </si>
  <si>
    <t xml:space="preserve">Rapid innovation cycle in smart devices; risk of inventory write-downs on older SKUs</t>
  </si>
  <si>
    <t xml:space="preserve">Inventory reserve policy</t>
  </si>
  <si>
    <t xml:space="preserve">Food Safety / Contamination</t>
  </si>
  <si>
    <t xml:space="preserve">FDA-regulated products; material recall event could cause reputational and financial harm</t>
  </si>
  <si>
    <t xml:space="preserve">HACCP + third-party audits</t>
  </si>
  <si>
    <t xml:space="preserve">ESG / Sustainability Risk</t>
  </si>
  <si>
    <t xml:space="preserve">Single-use packaging scrutiny; water usage in fruit processing; carbon footprint disclosure pressure</t>
  </si>
  <si>
    <t xml:space="preserve">Sustainability roadmap published</t>
  </si>
  <si>
    <t xml:space="preserve">Legend:</t>
  </si>
  <si>
    <t xml:space="preserve">LOW (1-6)</t>
  </si>
  <si>
    <t xml:space="preserve">MEDIUM (7-14)</t>
  </si>
  <si>
    <t xml:space="preserve">HIGH (15-20)</t>
  </si>
  <si>
    <t xml:space="preserve">CRITICAL (21-25)</t>
  </si>
  <si>
    <t xml:space="preserve">CASH FLOW ANALYSIS (USD millions)</t>
  </si>
  <si>
    <t xml:space="preserve">CONSOLIDATED CASH FLOWS</t>
  </si>
  <si>
    <t xml:space="preserve">OPERATING ACTIVITIES</t>
  </si>
  <si>
    <t xml:space="preserve">Depreciation &amp; Amortization</t>
  </si>
  <si>
    <t xml:space="preserve">Stock-Based Compensation</t>
  </si>
  <si>
    <t xml:space="preserve">Deferred Income Tax</t>
  </si>
  <si>
    <t xml:space="preserve">Changes in Working Capital</t>
  </si>
  <si>
    <t xml:space="preserve">Net Cash from Operating Activities</t>
  </si>
  <si>
    <t xml:space="preserve">INVESTING ACTIVITIES</t>
  </si>
  <si>
    <t xml:space="preserve">Capex (PP&amp;E)</t>
  </si>
  <si>
    <t xml:space="preserve">Purchases of Marketable Securities</t>
  </si>
  <si>
    <t xml:space="preserve">Maturities of Marketable Securities</t>
  </si>
  <si>
    <t xml:space="preserve">Acquisitions, net</t>
  </si>
  <si>
    <t xml:space="preserve">Net Cash from Investing Activities</t>
  </si>
  <si>
    <t xml:space="preserve">FINANCING ACTIVITIES</t>
  </si>
  <si>
    <t xml:space="preserve">Repurchase of Common Stock</t>
  </si>
  <si>
    <t xml:space="preserve">Dividends Paid</t>
  </si>
  <si>
    <t xml:space="preserve">Repayment of Debt</t>
  </si>
  <si>
    <t xml:space="preserve">Issuance of Debt</t>
  </si>
  <si>
    <t xml:space="preserve">Other Financing Activities</t>
  </si>
  <si>
    <t xml:space="preserve">Net Cash from Financing Activities</t>
  </si>
  <si>
    <t xml:space="preserve">Net Change in Cash</t>
  </si>
  <si>
    <t xml:space="preserve">Cash — Beginning of Year</t>
  </si>
  <si>
    <t xml:space="preserve">Cash — End of Year</t>
  </si>
  <si>
    <t xml:space="preserve">FREE CASH FLOW</t>
  </si>
  <si>
    <t xml:space="preserve">Metric</t>
  </si>
  <si>
    <t xml:space="preserve">Cash from Operations</t>
  </si>
  <si>
    <t xml:space="preserve">Less: Capital Expenditures</t>
  </si>
  <si>
    <t xml:space="preserve">Free Cash Flow</t>
  </si>
  <si>
    <t xml:space="preserve">FCF Margin (%)</t>
  </si>
  <si>
    <t xml:space="preserve">OVERALL SAVE RISK RATING — PASSIONFRUIT INC.</t>
  </si>
  <si>
    <t xml:space="preserve">COMPOSITE RISK SCORECARD</t>
  </si>
  <si>
    <t xml:space="preserve">Risk Dimension</t>
  </si>
  <si>
    <t xml:space="preserve">Weight</t>
  </si>
  <si>
    <t xml:space="preserve">Score (1-10)</t>
  </si>
  <si>
    <t xml:space="preserve">Weighted Score</t>
  </si>
  <si>
    <t xml:space="preserve">Commentary</t>
  </si>
  <si>
    <t xml:space="preserve">Financial Strength</t>
  </si>
  <si>
    <t xml:space="preserve">25%</t>
  </si>
  <si>
    <t xml:space="preserve">Strong margins, low leverage, $3B+ liquidity</t>
  </si>
  <si>
    <t xml:space="preserve">Profitability &amp; Growth</t>
  </si>
  <si>
    <t xml:space="preserve">20%</t>
  </si>
  <si>
    <t xml:space="preserve">14% net income CAGR; margin expansion</t>
  </si>
  <si>
    <t xml:space="preserve">Cash Flow Adequacy</t>
  </si>
  <si>
    <t xml:space="preserve">15%</t>
  </si>
  <si>
    <t xml:space="preserve">FCF of $1.19B; DSCR 4.85x</t>
  </si>
  <si>
    <t xml:space="preserve">Asset Quality</t>
  </si>
  <si>
    <t xml:space="preserve">10%</t>
  </si>
  <si>
    <t xml:space="preserve">Goodwill $1B; annual impairment test passed</t>
  </si>
  <si>
    <t xml:space="preserve">Industry / Market Risk</t>
  </si>
  <si>
    <t xml:space="preserve">Competitive CPG; commodity exposure</t>
  </si>
  <si>
    <t xml:space="preserve">Management Quality</t>
  </si>
  <si>
    <t xml:space="preserve">Experienced leadership; clean audit opinion</t>
  </si>
  <si>
    <t xml:space="preserve">Compliance &amp; Legal</t>
  </si>
  <si>
    <t xml:space="preserve">5%</t>
  </si>
  <si>
    <t xml:space="preserve">Pending FTC-related class action; cooperating</t>
  </si>
  <si>
    <t xml:space="preserve">ESG / Sustainability</t>
  </si>
  <si>
    <t xml:space="preserve">Published roadmap; packaging transition underway</t>
  </si>
  <si>
    <t xml:space="preserve">COMPOSITE WEIGHTED SCORE</t>
  </si>
  <si>
    <t xml:space="preserve">RISK RATING SCALE</t>
  </si>
  <si>
    <t xml:space="preserve">8.0 — 10.0</t>
  </si>
  <si>
    <t xml:space="preserve">LOW RISK</t>
  </si>
  <si>
    <t xml:space="preserve">Investment grade; excellent financial health</t>
  </si>
  <si>
    <t xml:space="preserve">6.0 — 7.9</t>
  </si>
  <si>
    <t xml:space="preserve">MODERATE RISK</t>
  </si>
  <si>
    <t xml:space="preserve">Acceptable risk; minor concerns</t>
  </si>
  <si>
    <t xml:space="preserve">4.0 — 5.9</t>
  </si>
  <si>
    <t xml:space="preserve">ELEVATED RISK</t>
  </si>
  <si>
    <t xml:space="preserve">Heightened monitoring required</t>
  </si>
  <si>
    <t xml:space="preserve">2.0 — 3.9</t>
  </si>
  <si>
    <t xml:space="preserve">HIGH RISK</t>
  </si>
  <si>
    <t xml:space="preserve">Significant vulnerabilities; restrict exposure</t>
  </si>
  <si>
    <t xml:space="preserve">0.0 — 1.9</t>
  </si>
  <si>
    <t xml:space="preserve">CRITICAL RISK</t>
  </si>
  <si>
    <t xml:space="preserve">Severe financial distress; exit/reject</t>
  </si>
  <si>
    <t xml:space="preserve">RECOMMENDATION: LOW RISK — Passionfruit Inc. demonstrates strong financial health with robust profitability, conservative leverage, ample liquidity, and an unqualified audit opinion. Suitable for credit extension within approved limits.</t>
  </si>
  <si>
    <t xml:space="preserve">Prepared by:</t>
  </si>
  <si>
    <t xml:space="preserve">Credit Analysis Division</t>
  </si>
  <si>
    <t xml:space="preserve">Date: October 31, 2025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</si>
</sst>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#,##0.00"/>
    <numFmt numFmtId="168" formatCode="0"/>
    <numFmt numFmtId="169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3D9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C33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EB9C"/>
        <bgColor rgb="FFFFD6CC"/>
      </patternFill>
    </fill>
    <fill>
      <patternFill patternType="solid">
        <fgColor rgb="FFFFD6CC"/>
        <bgColor rgb="FFFFC7CE"/>
      </patternFill>
    </fill>
    <fill>
      <patternFill patternType="solid">
        <fgColor rgb="FFFFC7CE"/>
        <bgColor rgb="FFFFD6CC"/>
      </patternFill>
    </fill>
    <fill>
      <patternFill patternType="solid">
        <fgColor rgb="FF7030A0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BBBBB"/>
      <rgbColor rgb="FF808080"/>
      <rgbColor rgb="FF9999FF"/>
      <rgbColor rgb="FF7030A0"/>
      <rgbColor rgb="FFF2F2F2"/>
      <rgbColor rgb="FFFFD6CC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B3D91"/>
      <rgbColor rgb="FF00B050"/>
      <rgbColor rgb="FF003300"/>
      <rgbColor rgb="FF333300"/>
      <rgbColor rgb="FFCC3300"/>
      <rgbColor rgb="FF993366"/>
      <rgbColor rgb="FF1F3864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D91"/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20"/>
  </cols>
  <sheetData>
    <row r="1" customFormat="false" ht="17.3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s">
        <v>4</v>
      </c>
      <c r="C5" s="5"/>
    </row>
    <row r="6" customFormat="false" ht="15" hidden="false" customHeight="false" outlineLevel="0" collapsed="false">
      <c r="A6" s="6" t="s">
        <v>5</v>
      </c>
      <c r="B6" s="7" t="s">
        <v>6</v>
      </c>
      <c r="C6" s="7"/>
    </row>
    <row r="7" customFormat="false" ht="15" hidden="false" customHeight="false" outlineLevel="0" collapsed="false">
      <c r="A7" s="4" t="s">
        <v>7</v>
      </c>
      <c r="B7" s="5" t="s">
        <v>8</v>
      </c>
      <c r="C7" s="5"/>
    </row>
    <row r="8" customFormat="false" ht="15" hidden="false" customHeight="false" outlineLevel="0" collapsed="false">
      <c r="A8" s="6" t="s">
        <v>9</v>
      </c>
      <c r="B8" s="7" t="s">
        <v>10</v>
      </c>
      <c r="C8" s="7"/>
    </row>
    <row r="9" customFormat="false" ht="15" hidden="false" customHeight="false" outlineLevel="0" collapsed="false">
      <c r="A9" s="4" t="s">
        <v>11</v>
      </c>
      <c r="B9" s="5" t="s">
        <v>12</v>
      </c>
      <c r="C9" s="5"/>
    </row>
    <row r="10" customFormat="false" ht="23.85" hidden="false" customHeight="false" outlineLevel="0" collapsed="false">
      <c r="A10" s="6" t="s">
        <v>13</v>
      </c>
      <c r="B10" s="7" t="s">
        <v>14</v>
      </c>
      <c r="C10" s="7"/>
    </row>
    <row r="11" customFormat="false" ht="15" hidden="false" customHeight="false" outlineLevel="0" collapsed="false">
      <c r="A11" s="4" t="s">
        <v>15</v>
      </c>
      <c r="B11" s="5" t="s">
        <v>16</v>
      </c>
      <c r="C11" s="5"/>
    </row>
    <row r="12" customFormat="false" ht="15" hidden="false" customHeight="false" outlineLevel="0" collapsed="false">
      <c r="A12" s="6" t="s">
        <v>17</v>
      </c>
      <c r="B12" s="7" t="s">
        <v>18</v>
      </c>
      <c r="C12" s="7"/>
    </row>
    <row r="13" customFormat="false" ht="15" hidden="false" customHeight="false" outlineLevel="0" collapsed="false">
      <c r="A13" s="4" t="s">
        <v>19</v>
      </c>
      <c r="B13" s="5" t="s">
        <v>20</v>
      </c>
      <c r="C13" s="5"/>
    </row>
    <row r="14" customFormat="false" ht="15" hidden="false" customHeight="false" outlineLevel="0" collapsed="false">
      <c r="A14" s="6" t="s">
        <v>21</v>
      </c>
      <c r="B14" s="7" t="s">
        <v>22</v>
      </c>
      <c r="C14" s="7"/>
    </row>
    <row r="15" customFormat="false" ht="15" hidden="false" customHeight="false" outlineLevel="0" collapsed="false">
      <c r="A15" s="4" t="s">
        <v>23</v>
      </c>
      <c r="B15" s="5" t="s">
        <v>24</v>
      </c>
      <c r="C15" s="5"/>
    </row>
    <row r="16" customFormat="false" ht="15" hidden="false" customHeight="false" outlineLevel="0" collapsed="false">
      <c r="A16" s="6" t="s">
        <v>25</v>
      </c>
      <c r="B16" s="7" t="s">
        <v>26</v>
      </c>
      <c r="C16" s="7"/>
    </row>
    <row r="17" customFormat="false" ht="15" hidden="false" customHeight="false" outlineLevel="0" collapsed="false">
      <c r="A17" s="4" t="s">
        <v>27</v>
      </c>
      <c r="B17" s="5" t="s">
        <v>28</v>
      </c>
      <c r="C17" s="5"/>
    </row>
    <row r="19" customFormat="false" ht="15" hidden="false" customHeight="false" outlineLevel="0" collapsed="false">
      <c r="A19" s="3" t="s">
        <v>29</v>
      </c>
      <c r="B19" s="3"/>
      <c r="C19" s="3"/>
    </row>
    <row r="20" customFormat="false" ht="15" hidden="false" customHeight="false" outlineLevel="0" collapsed="false">
      <c r="A20" s="8" t="s">
        <v>30</v>
      </c>
      <c r="B20" s="9" t="s">
        <v>31</v>
      </c>
      <c r="C20" s="9" t="s">
        <v>32</v>
      </c>
    </row>
    <row r="21" customFormat="false" ht="15" hidden="false" customHeight="false" outlineLevel="0" collapsed="false">
      <c r="A21" s="7" t="s">
        <v>33</v>
      </c>
      <c r="B21" s="7" t="s">
        <v>34</v>
      </c>
      <c r="C21" s="7" t="s">
        <v>35</v>
      </c>
    </row>
    <row r="22" customFormat="false" ht="15" hidden="false" customHeight="false" outlineLevel="0" collapsed="false">
      <c r="A22" s="5" t="s">
        <v>36</v>
      </c>
      <c r="B22" s="5" t="s">
        <v>37</v>
      </c>
      <c r="C22" s="5" t="s">
        <v>38</v>
      </c>
    </row>
    <row r="23" customFormat="false" ht="15" hidden="false" customHeight="false" outlineLevel="0" collapsed="false">
      <c r="A23" s="7" t="s">
        <v>39</v>
      </c>
      <c r="B23" s="7" t="s">
        <v>40</v>
      </c>
      <c r="C23" s="7" t="s">
        <v>41</v>
      </c>
    </row>
    <row r="24" customFormat="false" ht="15" hidden="false" customHeight="false" outlineLevel="0" collapsed="false">
      <c r="A24" s="5" t="s">
        <v>42</v>
      </c>
      <c r="B24" s="5" t="s">
        <v>43</v>
      </c>
      <c r="C24" s="5" t="s">
        <v>44</v>
      </c>
    </row>
    <row r="25" customFormat="false" ht="15" hidden="false" customHeight="false" outlineLevel="0" collapsed="false">
      <c r="A25" s="7" t="s">
        <v>45</v>
      </c>
      <c r="B25" s="7" t="s">
        <v>46</v>
      </c>
      <c r="C25" s="7" t="s">
        <v>47</v>
      </c>
    </row>
    <row r="27" customFormat="false" ht="15" hidden="false" customHeight="false" outlineLevel="0" collapsed="false">
      <c r="A27" s="3" t="s">
        <v>48</v>
      </c>
      <c r="B27" s="3"/>
      <c r="C27" s="3"/>
    </row>
    <row r="28" customFormat="false" ht="15" hidden="false" customHeight="false" outlineLevel="0" collapsed="false">
      <c r="A28" s="8" t="s">
        <v>49</v>
      </c>
      <c r="B28" s="9" t="s">
        <v>50</v>
      </c>
      <c r="C28" s="9" t="s">
        <v>51</v>
      </c>
    </row>
    <row r="29" customFormat="false" ht="15" hidden="false" customHeight="false" outlineLevel="0" collapsed="false">
      <c r="A29" s="7" t="s">
        <v>52</v>
      </c>
      <c r="B29" s="7" t="s">
        <v>53</v>
      </c>
      <c r="C29" s="7" t="s">
        <v>54</v>
      </c>
    </row>
    <row r="30" customFormat="false" ht="15" hidden="false" customHeight="false" outlineLevel="0" collapsed="false">
      <c r="A30" s="5" t="s">
        <v>55</v>
      </c>
      <c r="B30" s="5" t="s">
        <v>56</v>
      </c>
      <c r="C30" s="5" t="s">
        <v>54</v>
      </c>
    </row>
    <row r="31" customFormat="false" ht="15" hidden="false" customHeight="false" outlineLevel="0" collapsed="false">
      <c r="A31" s="7" t="s">
        <v>57</v>
      </c>
      <c r="B31" s="7" t="s">
        <v>58</v>
      </c>
      <c r="C31" s="7" t="s">
        <v>54</v>
      </c>
    </row>
    <row r="32" customFormat="false" ht="15" hidden="false" customHeight="false" outlineLevel="0" collapsed="false">
      <c r="A32" s="5" t="s">
        <v>59</v>
      </c>
      <c r="B32" s="5" t="s">
        <v>60</v>
      </c>
      <c r="C32" s="5" t="s">
        <v>61</v>
      </c>
    </row>
    <row r="33" customFormat="false" ht="15" hidden="false" customHeight="false" outlineLevel="0" collapsed="false">
      <c r="A33" s="7" t="s">
        <v>62</v>
      </c>
      <c r="B33" s="7" t="s">
        <v>63</v>
      </c>
      <c r="C33" s="7" t="s">
        <v>54</v>
      </c>
    </row>
  </sheetData>
  <mergeCells count="5">
    <mergeCell ref="A1:C1"/>
    <mergeCell ref="A2:C2"/>
    <mergeCell ref="A4:C4"/>
    <mergeCell ref="A19:C19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0" t="s">
        <v>64</v>
      </c>
      <c r="B1" s="10"/>
      <c r="C1" s="10"/>
      <c r="D1" s="10"/>
      <c r="E1" s="10"/>
      <c r="F1" s="10"/>
    </row>
    <row r="3" customFormat="false" ht="15" hidden="false" customHeight="false" outlineLevel="0" collapsed="false">
      <c r="A3" s="3" t="s">
        <v>65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8" t="s">
        <v>66</v>
      </c>
      <c r="B4" s="9" t="s">
        <v>67</v>
      </c>
      <c r="C4" s="9" t="s">
        <v>68</v>
      </c>
      <c r="D4" s="9" t="s">
        <v>69</v>
      </c>
      <c r="E4" s="9" t="s">
        <v>70</v>
      </c>
      <c r="F4" s="9" t="s">
        <v>71</v>
      </c>
    </row>
    <row r="5" customFormat="false" ht="15" hidden="false" customHeight="false" outlineLevel="0" collapsed="false">
      <c r="A5" s="5" t="s">
        <v>72</v>
      </c>
      <c r="B5" s="11" t="n">
        <v>6250</v>
      </c>
      <c r="C5" s="11" t="n">
        <v>5890</v>
      </c>
      <c r="D5" s="11" t="n">
        <v>5540</v>
      </c>
      <c r="E5" s="12" t="n">
        <f aca="false">(B5-C5)/C5</f>
        <v>0.0611205432937182</v>
      </c>
      <c r="F5" s="12" t="n">
        <f aca="false">(B5/D5)^(1/2)-1</f>
        <v>0.0621482216552185</v>
      </c>
    </row>
    <row r="6" customFormat="false" ht="15" hidden="false" customHeight="false" outlineLevel="0" collapsed="false">
      <c r="A6" s="7" t="s">
        <v>73</v>
      </c>
      <c r="B6" s="13" t="n">
        <v>2297</v>
      </c>
      <c r="C6" s="13" t="n">
        <v>2042</v>
      </c>
      <c r="D6" s="13" t="n">
        <v>1815</v>
      </c>
      <c r="E6" s="14" t="n">
        <f aca="false">(B6-C6)/C6</f>
        <v>0.124877571008815</v>
      </c>
      <c r="F6" s="14" t="n">
        <f aca="false">(B6/D6)^(1/2)-1</f>
        <v>0.124973216699851</v>
      </c>
    </row>
    <row r="7" customFormat="false" ht="15" hidden="false" customHeight="false" outlineLevel="0" collapsed="false">
      <c r="A7" s="5" t="s">
        <v>74</v>
      </c>
      <c r="B7" s="11" t="n">
        <v>8547</v>
      </c>
      <c r="C7" s="11" t="n">
        <v>7932</v>
      </c>
      <c r="D7" s="11" t="n">
        <v>7355</v>
      </c>
      <c r="E7" s="12" t="n">
        <f aca="false">(B7-C7)/C7</f>
        <v>0.0775340393343419</v>
      </c>
      <c r="F7" s="12" t="n">
        <f aca="false">(B7/D7)^(1/2)-1</f>
        <v>0.0779919393696889</v>
      </c>
    </row>
    <row r="8" customFormat="false" ht="15" hidden="false" customHeight="false" outlineLevel="0" collapsed="false">
      <c r="A8" s="7" t="s">
        <v>75</v>
      </c>
      <c r="B8" s="13" t="n">
        <v>3782</v>
      </c>
      <c r="C8" s="13" t="n">
        <v>3633</v>
      </c>
      <c r="D8" s="13" t="n">
        <v>3468</v>
      </c>
      <c r="E8" s="14" t="n">
        <f aca="false">(B8-C8)/C8</f>
        <v>0.0410129369666942</v>
      </c>
      <c r="F8" s="14" t="n">
        <f aca="false">(B8/D8)^(1/2)-1</f>
        <v>0.0442902370474494</v>
      </c>
    </row>
    <row r="9" customFormat="false" ht="15" hidden="false" customHeight="false" outlineLevel="0" collapsed="false">
      <c r="A9" s="5" t="s">
        <v>76</v>
      </c>
      <c r="B9" s="11" t="n">
        <v>987</v>
      </c>
      <c r="C9" s="11" t="n">
        <v>880</v>
      </c>
      <c r="D9" s="11" t="n">
        <v>790</v>
      </c>
      <c r="E9" s="12" t="n">
        <f aca="false">(B9-C9)/C9</f>
        <v>0.121590909090909</v>
      </c>
      <c r="F9" s="12" t="n">
        <f aca="false">(B9/D9)^(1/2)-1</f>
        <v>0.11775090633271</v>
      </c>
    </row>
    <row r="10" customFormat="false" ht="15" hidden="false" customHeight="false" outlineLevel="0" collapsed="false">
      <c r="A10" s="7" t="s">
        <v>77</v>
      </c>
      <c r="B10" s="13" t="n">
        <v>4769</v>
      </c>
      <c r="C10" s="13" t="n">
        <v>4513</v>
      </c>
      <c r="D10" s="13" t="n">
        <v>4258</v>
      </c>
      <c r="E10" s="14" t="n">
        <f aca="false">(B10-C10)/C10</f>
        <v>0.0567250166186572</v>
      </c>
      <c r="F10" s="14" t="n">
        <f aca="false">(B10/D10)^(1/2)-1</f>
        <v>0.058304962702967</v>
      </c>
    </row>
    <row r="11" customFormat="false" ht="15" hidden="false" customHeight="false" outlineLevel="0" collapsed="false">
      <c r="A11" s="5" t="s">
        <v>78</v>
      </c>
      <c r="B11" s="11" t="n">
        <v>3778</v>
      </c>
      <c r="C11" s="11" t="n">
        <v>3419</v>
      </c>
      <c r="D11" s="11" t="n">
        <v>3097</v>
      </c>
      <c r="E11" s="12" t="n">
        <f aca="false">(B11-C11)/C11</f>
        <v>0.105001462415911</v>
      </c>
      <c r="F11" s="12" t="n">
        <f aca="false">(B11/D11)^(1/2)-1</f>
        <v>0.104486403872131</v>
      </c>
    </row>
    <row r="12" customFormat="false" ht="15" hidden="false" customHeight="false" outlineLevel="0" collapsed="false">
      <c r="A12" s="7" t="s">
        <v>79</v>
      </c>
      <c r="B12" s="13" t="n">
        <v>1128</v>
      </c>
      <c r="C12" s="13" t="n">
        <v>1030</v>
      </c>
      <c r="D12" s="13" t="n">
        <v>942</v>
      </c>
      <c r="E12" s="14" t="n">
        <f aca="false">(B12-C12)/C12</f>
        <v>0.0951456310679612</v>
      </c>
      <c r="F12" s="14" t="n">
        <f aca="false">(B12/D12)^(1/2)-1</f>
        <v>0.094281604204038</v>
      </c>
    </row>
    <row r="13" customFormat="false" ht="15" hidden="false" customHeight="false" outlineLevel="0" collapsed="false">
      <c r="A13" s="5" t="s">
        <v>80</v>
      </c>
      <c r="B13" s="11" t="n">
        <v>735</v>
      </c>
      <c r="C13" s="11" t="n">
        <v>709</v>
      </c>
      <c r="D13" s="11" t="n">
        <v>672</v>
      </c>
      <c r="E13" s="12" t="n">
        <f aca="false">(B13-C13)/C13</f>
        <v>0.0366713681241185</v>
      </c>
      <c r="F13" s="12" t="n">
        <f aca="false">(B13/D13)^(1/2)-1</f>
        <v>0.0458250331675945</v>
      </c>
    </row>
    <row r="14" customFormat="false" ht="15" hidden="false" customHeight="false" outlineLevel="0" collapsed="false">
      <c r="A14" s="7" t="s">
        <v>81</v>
      </c>
      <c r="B14" s="13" t="n">
        <v>1863</v>
      </c>
      <c r="C14" s="13" t="n">
        <v>1739</v>
      </c>
      <c r="D14" s="13" t="n">
        <v>1614</v>
      </c>
      <c r="E14" s="14" t="n">
        <f aca="false">(B14-C14)/C14</f>
        <v>0.0713053479010926</v>
      </c>
      <c r="F14" s="14" t="n">
        <f aca="false">(B14/D14)^(1/2)-1</f>
        <v>0.0743719527876754</v>
      </c>
    </row>
    <row r="15" customFormat="false" ht="15" hidden="false" customHeight="false" outlineLevel="0" collapsed="false">
      <c r="A15" s="5" t="s">
        <v>82</v>
      </c>
      <c r="B15" s="11" t="n">
        <v>1915</v>
      </c>
      <c r="C15" s="11" t="n">
        <v>1680</v>
      </c>
      <c r="D15" s="11" t="n">
        <v>1483</v>
      </c>
      <c r="E15" s="12" t="n">
        <f aca="false">(B15-C15)/C15</f>
        <v>0.139880952380952</v>
      </c>
      <c r="F15" s="12" t="n">
        <f aca="false">(B15/D15)^(1/2)-1</f>
        <v>0.136354441205978</v>
      </c>
    </row>
    <row r="16" customFormat="false" ht="15" hidden="false" customHeight="false" outlineLevel="0" collapsed="false">
      <c r="A16" s="7" t="s">
        <v>83</v>
      </c>
      <c r="B16" s="13" t="n">
        <v>62</v>
      </c>
      <c r="C16" s="13" t="n">
        <v>48</v>
      </c>
      <c r="D16" s="13" t="n">
        <v>31</v>
      </c>
      <c r="E16" s="14" t="n">
        <f aca="false">(B16-C16)/C16</f>
        <v>0.291666666666667</v>
      </c>
      <c r="F16" s="14" t="n">
        <f aca="false">(B16/D16)^(1/2)-1</f>
        <v>0.414213562373095</v>
      </c>
    </row>
    <row r="17" customFormat="false" ht="15" hidden="false" customHeight="false" outlineLevel="0" collapsed="false">
      <c r="A17" s="5" t="s">
        <v>84</v>
      </c>
      <c r="B17" s="11" t="n">
        <v>1977</v>
      </c>
      <c r="C17" s="11" t="n">
        <v>1728</v>
      </c>
      <c r="D17" s="11" t="n">
        <v>1514</v>
      </c>
      <c r="E17" s="12" t="n">
        <f aca="false">(B17-C17)/C17</f>
        <v>0.144097222222222</v>
      </c>
      <c r="F17" s="12" t="n">
        <f aca="false">(B17/D17)^(1/2)-1</f>
        <v>0.14272149600734</v>
      </c>
    </row>
    <row r="18" customFormat="false" ht="15" hidden="false" customHeight="false" outlineLevel="0" collapsed="false">
      <c r="A18" s="7" t="s">
        <v>85</v>
      </c>
      <c r="B18" s="13" t="n">
        <v>453</v>
      </c>
      <c r="C18" s="13" t="n">
        <v>396</v>
      </c>
      <c r="D18" s="13" t="n">
        <v>348</v>
      </c>
      <c r="E18" s="14" t="n">
        <f aca="false">(B18-C18)/C18</f>
        <v>0.143939393939394</v>
      </c>
      <c r="F18" s="14" t="n">
        <f aca="false">(B18/D18)^(1/2)-1</f>
        <v>0.140931259073497</v>
      </c>
    </row>
    <row r="19" customFormat="false" ht="15" hidden="false" customHeight="false" outlineLevel="0" collapsed="false">
      <c r="A19" s="5" t="s">
        <v>86</v>
      </c>
      <c r="B19" s="11" t="n">
        <v>1524</v>
      </c>
      <c r="C19" s="11" t="n">
        <v>1332</v>
      </c>
      <c r="D19" s="11" t="n">
        <v>1166</v>
      </c>
      <c r="E19" s="12" t="n">
        <f aca="false">(B19-C19)/C19</f>
        <v>0.144144144144144</v>
      </c>
      <c r="F19" s="12" t="n">
        <f aca="false">(B19/D19)^(1/2)-1</f>
        <v>0.143255260233452</v>
      </c>
    </row>
    <row r="20" customFormat="false" ht="15" hidden="false" customHeight="false" outlineLevel="0" collapsed="false">
      <c r="A20" s="7" t="s">
        <v>87</v>
      </c>
      <c r="B20" s="15" t="n">
        <v>4.82</v>
      </c>
      <c r="C20" s="15" t="n">
        <v>4.18</v>
      </c>
      <c r="D20" s="15" t="n">
        <v>3.62</v>
      </c>
      <c r="E20" s="14" t="n">
        <f aca="false">(B20-C20)/C20</f>
        <v>0.15311004784689</v>
      </c>
      <c r="F20" s="14" t="n">
        <f aca="false">(B20/D20)^(1/2)-1</f>
        <v>0.153902817704846</v>
      </c>
    </row>
    <row r="22" customFormat="false" ht="15" hidden="false" customHeight="false" outlineLevel="0" collapsed="false">
      <c r="A22" s="3" t="s">
        <v>88</v>
      </c>
      <c r="B22" s="3"/>
      <c r="C22" s="3"/>
      <c r="D22" s="3"/>
      <c r="E22" s="3"/>
      <c r="F22" s="3"/>
    </row>
    <row r="23" customFormat="false" ht="15" hidden="false" customHeight="false" outlineLevel="0" collapsed="false">
      <c r="A23" s="8" t="s">
        <v>89</v>
      </c>
      <c r="B23" s="9" t="s">
        <v>67</v>
      </c>
      <c r="C23" s="9" t="s">
        <v>68</v>
      </c>
      <c r="D23" s="9" t="s">
        <v>69</v>
      </c>
      <c r="E23" s="9" t="s">
        <v>90</v>
      </c>
      <c r="F23" s="9" t="s">
        <v>91</v>
      </c>
    </row>
    <row r="24" customFormat="false" ht="15" hidden="false" customHeight="false" outlineLevel="0" collapsed="false">
      <c r="A24" s="5" t="s">
        <v>92</v>
      </c>
      <c r="B24" s="12" t="n">
        <f aca="false">B11/B7</f>
        <v>0.442026442026442</v>
      </c>
      <c r="C24" s="12" t="n">
        <f aca="false">C11/C7</f>
        <v>0.431038830055472</v>
      </c>
      <c r="D24" s="12" t="n">
        <f aca="false">D11/D7</f>
        <v>0.421074099252209</v>
      </c>
      <c r="E24" s="16" t="n">
        <f aca="false">(B24-C24)*10000</f>
        <v>109.876119709705</v>
      </c>
      <c r="F24" s="17" t="str">
        <f aca="false">IF(E24&gt;0,"Improving","Declining")</f>
        <v>Improving</v>
      </c>
    </row>
    <row r="25" customFormat="false" ht="15" hidden="false" customHeight="false" outlineLevel="0" collapsed="false">
      <c r="A25" s="7" t="s">
        <v>93</v>
      </c>
      <c r="B25" s="14" t="n">
        <f aca="false">B15/B7</f>
        <v>0.224055224055224</v>
      </c>
      <c r="C25" s="14" t="n">
        <f aca="false">C15/C7</f>
        <v>0.211800302571861</v>
      </c>
      <c r="D25" s="14" t="n">
        <f aca="false">D15/D7</f>
        <v>0.201631543167913</v>
      </c>
      <c r="E25" s="18" t="n">
        <f aca="false">(B25-C25)*10000</f>
        <v>122.549214833632</v>
      </c>
      <c r="F25" s="19" t="str">
        <f aca="false">IF(E25&gt;0,"Improving","Declining")</f>
        <v>Improving</v>
      </c>
    </row>
    <row r="26" customFormat="false" ht="15" hidden="false" customHeight="false" outlineLevel="0" collapsed="false">
      <c r="A26" s="5" t="s">
        <v>94</v>
      </c>
      <c r="B26" s="12" t="n">
        <f aca="false">B19/B7</f>
        <v>0.178308178308178</v>
      </c>
      <c r="C26" s="12" t="n">
        <f aca="false">C19/C7</f>
        <v>0.167927382753404</v>
      </c>
      <c r="D26" s="12" t="n">
        <f aca="false">D19/D7</f>
        <v>0.158531611148878</v>
      </c>
      <c r="E26" s="16" t="n">
        <f aca="false">(B26-C26)*10000</f>
        <v>103.807955547744</v>
      </c>
      <c r="F26" s="17" t="str">
        <f aca="false">IF(E26&gt;0,"Improving","Declining")</f>
        <v>Improving</v>
      </c>
    </row>
    <row r="27" customFormat="false" ht="15" hidden="false" customHeight="false" outlineLevel="0" collapsed="false">
      <c r="A27" s="7" t="s">
        <v>95</v>
      </c>
      <c r="B27" s="14" t="n">
        <f aca="false">B12/B7</f>
        <v>0.131976131976132</v>
      </c>
      <c r="C27" s="14" t="n">
        <f aca="false">C12/C7</f>
        <v>0.129853756933938</v>
      </c>
      <c r="D27" s="14" t="n">
        <f aca="false">D12/D7</f>
        <v>0.128076138681169</v>
      </c>
      <c r="E27" s="18" t="n">
        <f aca="false">(B27-C27)*10000</f>
        <v>21.2237504219351</v>
      </c>
      <c r="F27" s="19" t="str">
        <f aca="false">IF(E27&gt;0,"Improving","Declining")</f>
        <v>Improving</v>
      </c>
    </row>
    <row r="28" customFormat="false" ht="15" hidden="false" customHeight="false" outlineLevel="0" collapsed="false">
      <c r="A28" s="5" t="s">
        <v>96</v>
      </c>
      <c r="B28" s="12" t="n">
        <f aca="false">B13/B7</f>
        <v>0.085995085995086</v>
      </c>
      <c r="C28" s="12" t="n">
        <f aca="false">C13/C7</f>
        <v>0.0893847705496722</v>
      </c>
      <c r="D28" s="12" t="n">
        <f aca="false">D13/D7</f>
        <v>0.0913664174031271</v>
      </c>
      <c r="E28" s="16" t="n">
        <f aca="false">(B28-C28)*10000</f>
        <v>-33.8968455458621</v>
      </c>
      <c r="F28" s="17" t="str">
        <f aca="false">IF(E28&gt;0,"Improving","Declining")</f>
        <v>Declining</v>
      </c>
    </row>
    <row r="29" customFormat="false" ht="15" hidden="false" customHeight="false" outlineLevel="0" collapsed="false">
      <c r="A29" s="7" t="s">
        <v>97</v>
      </c>
      <c r="B29" s="14" t="n">
        <f aca="false">B18/B17</f>
        <v>0.229135053110774</v>
      </c>
      <c r="C29" s="14" t="n">
        <f aca="false">C18/C17</f>
        <v>0.229166666666667</v>
      </c>
      <c r="D29" s="14" t="n">
        <f aca="false">D18/D17</f>
        <v>0.229854689564069</v>
      </c>
      <c r="E29" s="18" t="n">
        <f aca="false">(B29-C29)*10000</f>
        <v>-0.316135558927622</v>
      </c>
      <c r="F29" s="19" t="str">
        <f aca="false">IF(E29&gt;0,"Improving","Declining")</f>
        <v>Declining</v>
      </c>
    </row>
  </sheetData>
  <mergeCells count="3">
    <mergeCell ref="A1:F1"/>
    <mergeCell ref="A3:F3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0" t="s">
        <v>98</v>
      </c>
      <c r="B1" s="10"/>
      <c r="C1" s="10"/>
      <c r="D1" s="10"/>
    </row>
    <row r="3" customFormat="false" ht="15" hidden="false" customHeight="false" outlineLevel="0" collapsed="false">
      <c r="A3" s="3" t="s">
        <v>99</v>
      </c>
      <c r="B3" s="3"/>
      <c r="C3" s="3"/>
      <c r="D3" s="3"/>
      <c r="E3" s="3"/>
    </row>
    <row r="4" customFormat="false" ht="15" hidden="false" customHeight="false" outlineLevel="0" collapsed="false">
      <c r="A4" s="8" t="s">
        <v>66</v>
      </c>
      <c r="B4" s="9" t="s">
        <v>100</v>
      </c>
      <c r="C4" s="9" t="s">
        <v>101</v>
      </c>
      <c r="D4" s="9" t="s">
        <v>102</v>
      </c>
      <c r="E4" s="9" t="s">
        <v>103</v>
      </c>
    </row>
    <row r="5" customFormat="false" ht="15" hidden="false" customHeight="true" outlineLevel="0" collapsed="false">
      <c r="A5" s="8" t="s">
        <v>104</v>
      </c>
      <c r="B5" s="8"/>
      <c r="C5" s="8"/>
      <c r="D5" s="8"/>
      <c r="E5" s="8"/>
    </row>
    <row r="6" customFormat="false" ht="15" hidden="false" customHeight="false" outlineLevel="0" collapsed="false">
      <c r="A6" s="7" t="s">
        <v>105</v>
      </c>
      <c r="B6" s="13" t="n">
        <v>1250</v>
      </c>
      <c r="C6" s="13" t="n">
        <v>1062</v>
      </c>
      <c r="D6" s="20" t="n">
        <f aca="false">B6-C6</f>
        <v>188</v>
      </c>
      <c r="E6" s="14" t="n">
        <f aca="false">IF(C6&lt;&gt;0,(B6-C6)/ABS(C6),"-")</f>
        <v>0.177024482109228</v>
      </c>
    </row>
    <row r="7" customFormat="false" ht="15" hidden="false" customHeight="false" outlineLevel="0" collapsed="false">
      <c r="A7" s="5" t="s">
        <v>106</v>
      </c>
      <c r="B7" s="11" t="n">
        <v>1820</v>
      </c>
      <c r="C7" s="11" t="n">
        <v>1640</v>
      </c>
      <c r="D7" s="21" t="n">
        <f aca="false">B7-C7</f>
        <v>180</v>
      </c>
      <c r="E7" s="12" t="n">
        <f aca="false">IF(C7&lt;&gt;0,(B7-C7)/ABS(C7),"-")</f>
        <v>0.109756097560976</v>
      </c>
    </row>
    <row r="8" customFormat="false" ht="15" hidden="false" customHeight="false" outlineLevel="0" collapsed="false">
      <c r="A8" s="7" t="s">
        <v>107</v>
      </c>
      <c r="B8" s="13" t="n">
        <v>1180</v>
      </c>
      <c r="C8" s="13" t="n">
        <v>1055</v>
      </c>
      <c r="D8" s="20" t="n">
        <f aca="false">B8-C8</f>
        <v>125</v>
      </c>
      <c r="E8" s="14" t="n">
        <f aca="false">IF(C8&lt;&gt;0,(B8-C8)/ABS(C8),"-")</f>
        <v>0.118483412322275</v>
      </c>
    </row>
    <row r="9" customFormat="false" ht="15" hidden="false" customHeight="false" outlineLevel="0" collapsed="false">
      <c r="A9" s="5" t="s">
        <v>108</v>
      </c>
      <c r="B9" s="11" t="n">
        <v>780</v>
      </c>
      <c r="C9" s="11" t="n">
        <v>725</v>
      </c>
      <c r="D9" s="21" t="n">
        <f aca="false">B9-C9</f>
        <v>55</v>
      </c>
      <c r="E9" s="12" t="n">
        <f aca="false">IF(C9&lt;&gt;0,(B9-C9)/ABS(C9),"-")</f>
        <v>0.0758620689655172</v>
      </c>
    </row>
    <row r="10" customFormat="false" ht="15" hidden="false" customHeight="false" outlineLevel="0" collapsed="false">
      <c r="A10" s="7" t="s">
        <v>109</v>
      </c>
      <c r="B10" s="13" t="n">
        <v>560</v>
      </c>
      <c r="C10" s="13" t="n">
        <v>510</v>
      </c>
      <c r="D10" s="20" t="n">
        <f aca="false">B10-C10</f>
        <v>50</v>
      </c>
      <c r="E10" s="14" t="n">
        <f aca="false">IF(C10&lt;&gt;0,(B10-C10)/ABS(C10),"-")</f>
        <v>0.0980392156862745</v>
      </c>
    </row>
    <row r="11" customFormat="false" ht="15" hidden="false" customHeight="false" outlineLevel="0" collapsed="false">
      <c r="A11" s="5" t="s">
        <v>110</v>
      </c>
      <c r="B11" s="11" t="n">
        <v>245</v>
      </c>
      <c r="C11" s="11" t="n">
        <v>228</v>
      </c>
      <c r="D11" s="21" t="n">
        <f aca="false">B11-C11</f>
        <v>17</v>
      </c>
      <c r="E11" s="12" t="n">
        <f aca="false">IF(C11&lt;&gt;0,(B11-C11)/ABS(C11),"-")</f>
        <v>0.0745614035087719</v>
      </c>
    </row>
    <row r="12" customFormat="false" ht="15" hidden="false" customHeight="false" outlineLevel="0" collapsed="false">
      <c r="A12" s="6" t="s">
        <v>111</v>
      </c>
      <c r="B12" s="13" t="n">
        <v>5835</v>
      </c>
      <c r="C12" s="13" t="n">
        <v>5220</v>
      </c>
      <c r="D12" s="20" t="n">
        <f aca="false">B12-C12</f>
        <v>615</v>
      </c>
      <c r="E12" s="14" t="n">
        <f aca="false">IF(C12&lt;&gt;0,(B12-C12)/ABS(C12),"-")</f>
        <v>0.117816091954023</v>
      </c>
    </row>
    <row r="13" customFormat="false" ht="15" hidden="false" customHeight="false" outlineLevel="0" collapsed="false">
      <c r="A13" s="5" t="s">
        <v>112</v>
      </c>
      <c r="B13" s="11" t="n">
        <v>2140</v>
      </c>
      <c r="C13" s="11" t="n">
        <v>1950</v>
      </c>
      <c r="D13" s="21" t="n">
        <f aca="false">B13-C13</f>
        <v>190</v>
      </c>
      <c r="E13" s="12" t="n">
        <f aca="false">IF(C13&lt;&gt;0,(B13-C13)/ABS(C13),"-")</f>
        <v>0.0974358974358974</v>
      </c>
    </row>
    <row r="14" customFormat="false" ht="15" hidden="false" customHeight="false" outlineLevel="0" collapsed="false">
      <c r="A14" s="7" t="s">
        <v>113</v>
      </c>
      <c r="B14" s="13" t="n">
        <v>1025</v>
      </c>
      <c r="C14" s="13" t="n">
        <v>975</v>
      </c>
      <c r="D14" s="20" t="n">
        <f aca="false">B14-C14</f>
        <v>50</v>
      </c>
      <c r="E14" s="14" t="n">
        <f aca="false">IF(C14&lt;&gt;0,(B14-C14)/ABS(C14),"-")</f>
        <v>0.0512820512820513</v>
      </c>
    </row>
    <row r="15" customFormat="false" ht="15" hidden="false" customHeight="false" outlineLevel="0" collapsed="false">
      <c r="A15" s="5" t="s">
        <v>114</v>
      </c>
      <c r="B15" s="11" t="n">
        <v>820</v>
      </c>
      <c r="C15" s="11" t="n">
        <v>742</v>
      </c>
      <c r="D15" s="21" t="n">
        <f aca="false">B15-C15</f>
        <v>78</v>
      </c>
      <c r="E15" s="12" t="n">
        <f aca="false">IF(C15&lt;&gt;0,(B15-C15)/ABS(C15),"-")</f>
        <v>0.105121293800539</v>
      </c>
    </row>
    <row r="16" customFormat="false" ht="15" hidden="false" customHeight="false" outlineLevel="0" collapsed="false">
      <c r="A16" s="6" t="s">
        <v>115</v>
      </c>
      <c r="B16" s="13" t="n">
        <v>9820</v>
      </c>
      <c r="C16" s="13" t="n">
        <v>8887</v>
      </c>
      <c r="D16" s="20" t="n">
        <f aca="false">B16-C16</f>
        <v>933</v>
      </c>
      <c r="E16" s="14" t="n">
        <f aca="false">IF(C16&lt;&gt;0,(B16-C16)/ABS(C16),"-")</f>
        <v>0.10498480927197</v>
      </c>
    </row>
    <row r="18" customFormat="false" ht="15" hidden="false" customHeight="true" outlineLevel="0" collapsed="false">
      <c r="A18" s="8" t="s">
        <v>116</v>
      </c>
      <c r="B18" s="8"/>
      <c r="C18" s="8"/>
      <c r="D18" s="8"/>
      <c r="E18" s="8"/>
    </row>
    <row r="19" customFormat="false" ht="15" hidden="false" customHeight="false" outlineLevel="0" collapsed="false">
      <c r="A19" s="5" t="s">
        <v>117</v>
      </c>
      <c r="B19" s="11" t="n">
        <v>1395</v>
      </c>
      <c r="C19" s="11" t="n">
        <v>1256</v>
      </c>
      <c r="D19" s="21" t="n">
        <f aca="false">B19-C19</f>
        <v>139</v>
      </c>
      <c r="E19" s="12" t="n">
        <f aca="false">IF(C19&lt;&gt;0,(B19-C19)/ABS(C19),"-")</f>
        <v>0.110668789808917</v>
      </c>
    </row>
    <row r="20" customFormat="false" ht="15" hidden="false" customHeight="false" outlineLevel="0" collapsed="false">
      <c r="A20" s="7" t="s">
        <v>118</v>
      </c>
      <c r="B20" s="13" t="n">
        <v>920</v>
      </c>
      <c r="C20" s="13" t="n">
        <v>835</v>
      </c>
      <c r="D20" s="20" t="n">
        <f aca="false">B20-C20</f>
        <v>85</v>
      </c>
      <c r="E20" s="14" t="n">
        <f aca="false">IF(C20&lt;&gt;0,(B20-C20)/ABS(C20),"-")</f>
        <v>0.101796407185629</v>
      </c>
    </row>
    <row r="21" customFormat="false" ht="15" hidden="false" customHeight="false" outlineLevel="0" collapsed="false">
      <c r="A21" s="5" t="s">
        <v>119</v>
      </c>
      <c r="B21" s="11" t="n">
        <v>412</v>
      </c>
      <c r="C21" s="11" t="n">
        <v>360</v>
      </c>
      <c r="D21" s="21" t="n">
        <f aca="false">B21-C21</f>
        <v>52</v>
      </c>
      <c r="E21" s="12" t="n">
        <f aca="false">IF(C21&lt;&gt;0,(B21-C21)/ABS(C21),"-")</f>
        <v>0.144444444444444</v>
      </c>
    </row>
    <row r="22" customFormat="false" ht="15" hidden="false" customHeight="false" outlineLevel="0" collapsed="false">
      <c r="A22" s="6" t="s">
        <v>120</v>
      </c>
      <c r="B22" s="13" t="n">
        <v>2727</v>
      </c>
      <c r="C22" s="13" t="n">
        <v>2451</v>
      </c>
      <c r="D22" s="20" t="n">
        <f aca="false">B22-C22</f>
        <v>276</v>
      </c>
      <c r="E22" s="14" t="n">
        <f aca="false">IF(C22&lt;&gt;0,(B22-C22)/ABS(C22),"-")</f>
        <v>0.112607099143207</v>
      </c>
    </row>
    <row r="23" customFormat="false" ht="15" hidden="false" customHeight="false" outlineLevel="0" collapsed="false">
      <c r="A23" s="5" t="s">
        <v>121</v>
      </c>
      <c r="B23" s="11" t="n">
        <v>1250</v>
      </c>
      <c r="C23" s="11" t="n">
        <v>1250</v>
      </c>
      <c r="D23" s="21" t="n">
        <f aca="false">B23-C23</f>
        <v>0</v>
      </c>
      <c r="E23" s="12" t="n">
        <f aca="false">IF(C23&lt;&gt;0,(B23-C23)/ABS(C23),"-")</f>
        <v>0</v>
      </c>
    </row>
    <row r="24" customFormat="false" ht="15" hidden="false" customHeight="false" outlineLevel="0" collapsed="false">
      <c r="A24" s="7" t="s">
        <v>122</v>
      </c>
      <c r="B24" s="13" t="n">
        <v>310</v>
      </c>
      <c r="C24" s="13" t="n">
        <v>275</v>
      </c>
      <c r="D24" s="20" t="n">
        <f aca="false">B24-C24</f>
        <v>35</v>
      </c>
      <c r="E24" s="14" t="n">
        <f aca="false">IF(C24&lt;&gt;0,(B24-C24)/ABS(C24),"-")</f>
        <v>0.127272727272727</v>
      </c>
    </row>
    <row r="25" customFormat="false" ht="15" hidden="false" customHeight="false" outlineLevel="0" collapsed="false">
      <c r="A25" s="5" t="s">
        <v>123</v>
      </c>
      <c r="B25" s="11" t="n">
        <v>485</v>
      </c>
      <c r="C25" s="11" t="n">
        <v>438</v>
      </c>
      <c r="D25" s="21" t="n">
        <f aca="false">B25-C25</f>
        <v>47</v>
      </c>
      <c r="E25" s="12" t="n">
        <f aca="false">IF(C25&lt;&gt;0,(B25-C25)/ABS(C25),"-")</f>
        <v>0.107305936073059</v>
      </c>
    </row>
    <row r="26" customFormat="false" ht="15" hidden="false" customHeight="false" outlineLevel="0" collapsed="false">
      <c r="A26" s="6" t="s">
        <v>124</v>
      </c>
      <c r="B26" s="13" t="n">
        <v>4772</v>
      </c>
      <c r="C26" s="13" t="n">
        <v>4414</v>
      </c>
      <c r="D26" s="20" t="n">
        <f aca="false">B26-C26</f>
        <v>358</v>
      </c>
      <c r="E26" s="14" t="n">
        <f aca="false">IF(C26&lt;&gt;0,(B26-C26)/ABS(C26),"-")</f>
        <v>0.0811055731762574</v>
      </c>
    </row>
    <row r="28" customFormat="false" ht="15" hidden="false" customHeight="true" outlineLevel="0" collapsed="false">
      <c r="A28" s="8" t="s">
        <v>125</v>
      </c>
      <c r="B28" s="8"/>
      <c r="C28" s="8"/>
      <c r="D28" s="8"/>
      <c r="E28" s="8"/>
    </row>
    <row r="29" customFormat="false" ht="15" hidden="false" customHeight="false" outlineLevel="0" collapsed="false">
      <c r="A29" s="5" t="s">
        <v>126</v>
      </c>
      <c r="B29" s="11" t="n">
        <v>2680</v>
      </c>
      <c r="C29" s="11" t="n">
        <v>2410</v>
      </c>
      <c r="D29" s="21" t="n">
        <f aca="false">B29-C29</f>
        <v>270</v>
      </c>
      <c r="E29" s="12" t="n">
        <f aca="false">IF(C29&lt;&gt;0,(B29-C29)/ABS(C29),"-")</f>
        <v>0.112033195020747</v>
      </c>
    </row>
    <row r="30" customFormat="false" ht="15" hidden="false" customHeight="false" outlineLevel="0" collapsed="false">
      <c r="A30" s="7" t="s">
        <v>127</v>
      </c>
      <c r="B30" s="13" t="n">
        <v>2485</v>
      </c>
      <c r="C30" s="13" t="n">
        <v>2180</v>
      </c>
      <c r="D30" s="20" t="n">
        <f aca="false">B30-C30</f>
        <v>305</v>
      </c>
      <c r="E30" s="14" t="n">
        <f aca="false">IF(C30&lt;&gt;0,(B30-C30)/ABS(C30),"-")</f>
        <v>0.139908256880734</v>
      </c>
    </row>
    <row r="31" customFormat="false" ht="15" hidden="false" customHeight="false" outlineLevel="0" collapsed="false">
      <c r="A31" s="5" t="s">
        <v>128</v>
      </c>
      <c r="B31" s="11" t="n">
        <v>-117</v>
      </c>
      <c r="C31" s="11" t="n">
        <v>-117</v>
      </c>
      <c r="D31" s="21" t="n">
        <f aca="false">B31-C31</f>
        <v>0</v>
      </c>
      <c r="E31" s="12" t="n">
        <f aca="false">IF(C31&lt;&gt;0,(B31-C31)/ABS(C31),"-")</f>
        <v>0</v>
      </c>
    </row>
    <row r="32" customFormat="false" ht="15" hidden="false" customHeight="false" outlineLevel="0" collapsed="false">
      <c r="A32" s="6" t="s">
        <v>129</v>
      </c>
      <c r="B32" s="13" t="n">
        <v>5048</v>
      </c>
      <c r="C32" s="13" t="n">
        <v>4473</v>
      </c>
      <c r="D32" s="20" t="n">
        <f aca="false">B32-C32</f>
        <v>575</v>
      </c>
      <c r="E32" s="14" t="n">
        <f aca="false">IF(C32&lt;&gt;0,(B32-C32)/ABS(C32),"-")</f>
        <v>0.128549072211044</v>
      </c>
    </row>
    <row r="33" customFormat="false" ht="15" hidden="false" customHeight="false" outlineLevel="0" collapsed="false">
      <c r="A33" s="4" t="s">
        <v>130</v>
      </c>
      <c r="B33" s="11" t="n">
        <v>9820</v>
      </c>
      <c r="C33" s="11" t="n">
        <v>8887</v>
      </c>
      <c r="D33" s="21" t="n">
        <f aca="false">B33-C33</f>
        <v>933</v>
      </c>
      <c r="E33" s="12" t="n">
        <f aca="false">IF(C33&lt;&gt;0,(B33-C33)/ABS(C33),"-")</f>
        <v>0.10498480927197</v>
      </c>
    </row>
    <row r="36" customFormat="false" ht="15" hidden="false" customHeight="false" outlineLevel="0" collapsed="false">
      <c r="A36" s="3" t="s">
        <v>131</v>
      </c>
      <c r="B36" s="3"/>
      <c r="C36" s="3"/>
      <c r="D36" s="3"/>
      <c r="E36" s="3"/>
    </row>
    <row r="37" customFormat="false" ht="15" hidden="false" customHeight="false" outlineLevel="0" collapsed="false">
      <c r="A37" s="8" t="s">
        <v>132</v>
      </c>
      <c r="B37" s="9" t="s">
        <v>67</v>
      </c>
      <c r="C37" s="9" t="s">
        <v>133</v>
      </c>
      <c r="D37" s="9" t="s">
        <v>134</v>
      </c>
      <c r="E37" s="9" t="s">
        <v>135</v>
      </c>
    </row>
    <row r="38" customFormat="false" ht="23.85" hidden="false" customHeight="false" outlineLevel="0" collapsed="false">
      <c r="A38" s="5" t="s">
        <v>136</v>
      </c>
      <c r="B38" s="22" t="n">
        <v>2.14</v>
      </c>
      <c r="C38" s="17" t="s">
        <v>137</v>
      </c>
      <c r="D38" s="23" t="s">
        <v>138</v>
      </c>
      <c r="E38" s="5" t="s">
        <v>139</v>
      </c>
    </row>
    <row r="39" customFormat="false" ht="23.85" hidden="false" customHeight="false" outlineLevel="0" collapsed="false">
      <c r="A39" s="7" t="s">
        <v>140</v>
      </c>
      <c r="B39" s="24" t="n">
        <v>1.86</v>
      </c>
      <c r="C39" s="19" t="s">
        <v>141</v>
      </c>
      <c r="D39" s="23" t="s">
        <v>138</v>
      </c>
      <c r="E39" s="7" t="s">
        <v>142</v>
      </c>
    </row>
    <row r="40" customFormat="false" ht="23.85" hidden="false" customHeight="false" outlineLevel="0" collapsed="false">
      <c r="A40" s="5" t="s">
        <v>143</v>
      </c>
      <c r="B40" s="25" t="n">
        <v>0.25</v>
      </c>
      <c r="C40" s="17" t="s">
        <v>144</v>
      </c>
      <c r="D40" s="23" t="s">
        <v>138</v>
      </c>
      <c r="E40" s="5" t="s">
        <v>145</v>
      </c>
    </row>
    <row r="41" customFormat="false" ht="23.85" hidden="false" customHeight="false" outlineLevel="0" collapsed="false">
      <c r="A41" s="7" t="s">
        <v>146</v>
      </c>
      <c r="B41" s="26" t="n">
        <v>0.61</v>
      </c>
      <c r="C41" s="19" t="s">
        <v>147</v>
      </c>
      <c r="D41" s="23" t="s">
        <v>138</v>
      </c>
      <c r="E41" s="7" t="s">
        <v>148</v>
      </c>
    </row>
    <row r="42" customFormat="false" ht="23.85" hidden="false" customHeight="false" outlineLevel="0" collapsed="false">
      <c r="A42" s="5" t="s">
        <v>149</v>
      </c>
      <c r="B42" s="22" t="n">
        <v>18.6</v>
      </c>
      <c r="C42" s="17" t="s">
        <v>150</v>
      </c>
      <c r="D42" s="23" t="s">
        <v>138</v>
      </c>
      <c r="E42" s="5" t="s">
        <v>151</v>
      </c>
    </row>
    <row r="43" customFormat="false" ht="23.85" hidden="false" customHeight="false" outlineLevel="0" collapsed="false">
      <c r="A43" s="7" t="s">
        <v>152</v>
      </c>
      <c r="B43" s="24" t="n">
        <v>4.85</v>
      </c>
      <c r="C43" s="19" t="s">
        <v>137</v>
      </c>
      <c r="D43" s="23" t="s">
        <v>138</v>
      </c>
      <c r="E43" s="7" t="s">
        <v>153</v>
      </c>
    </row>
    <row r="44" customFormat="false" ht="15" hidden="false" customHeight="false" outlineLevel="0" collapsed="false">
      <c r="A44" s="5" t="s">
        <v>154</v>
      </c>
      <c r="B44" s="25" t="n">
        <v>0.302</v>
      </c>
      <c r="C44" s="17" t="s">
        <v>155</v>
      </c>
      <c r="D44" s="23" t="s">
        <v>138</v>
      </c>
      <c r="E44" s="5" t="s">
        <v>156</v>
      </c>
    </row>
    <row r="45" customFormat="false" ht="23.85" hidden="false" customHeight="false" outlineLevel="0" collapsed="false">
      <c r="A45" s="7" t="s">
        <v>157</v>
      </c>
      <c r="B45" s="26" t="n">
        <v>0.155</v>
      </c>
      <c r="C45" s="19" t="s">
        <v>158</v>
      </c>
      <c r="D45" s="23" t="s">
        <v>138</v>
      </c>
      <c r="E45" s="7" t="s">
        <v>159</v>
      </c>
    </row>
    <row r="46" customFormat="false" ht="23.85" hidden="false" customHeight="false" outlineLevel="0" collapsed="false">
      <c r="A46" s="5" t="s">
        <v>160</v>
      </c>
      <c r="B46" s="25" t="n">
        <v>0.284</v>
      </c>
      <c r="C46" s="17" t="s">
        <v>161</v>
      </c>
      <c r="D46" s="23" t="s">
        <v>138</v>
      </c>
      <c r="E46" s="5" t="s">
        <v>162</v>
      </c>
    </row>
    <row r="47" customFormat="false" ht="23.85" hidden="false" customHeight="false" outlineLevel="0" collapsed="false">
      <c r="A47" s="7" t="s">
        <v>163</v>
      </c>
      <c r="B47" s="26" t="n">
        <v>0.87</v>
      </c>
      <c r="C47" s="19" t="s">
        <v>164</v>
      </c>
      <c r="D47" s="23" t="s">
        <v>138</v>
      </c>
      <c r="E47" s="7" t="s">
        <v>165</v>
      </c>
    </row>
    <row r="48" customFormat="false" ht="23.85" hidden="false" customHeight="false" outlineLevel="0" collapsed="false">
      <c r="A48" s="5" t="s">
        <v>166</v>
      </c>
      <c r="B48" s="22" t="n">
        <v>59.7</v>
      </c>
      <c r="C48" s="17" t="s">
        <v>167</v>
      </c>
      <c r="D48" s="23" t="s">
        <v>138</v>
      </c>
      <c r="E48" s="5" t="s">
        <v>168</v>
      </c>
    </row>
    <row r="49" customFormat="false" ht="23.85" hidden="false" customHeight="false" outlineLevel="0" collapsed="false">
      <c r="A49" s="7" t="s">
        <v>169</v>
      </c>
      <c r="B49" s="24" t="n">
        <v>50.4</v>
      </c>
      <c r="C49" s="19" t="s">
        <v>170</v>
      </c>
      <c r="D49" s="23" t="s">
        <v>138</v>
      </c>
      <c r="E49" s="7" t="s">
        <v>171</v>
      </c>
    </row>
    <row r="50" customFormat="false" ht="23.85" hidden="false" customHeight="false" outlineLevel="0" collapsed="false">
      <c r="A50" s="5" t="s">
        <v>172</v>
      </c>
      <c r="B50" s="22" t="n">
        <v>106.8</v>
      </c>
      <c r="C50" s="17" t="s">
        <v>173</v>
      </c>
      <c r="D50" s="27" t="s">
        <v>174</v>
      </c>
      <c r="E50" s="5" t="s">
        <v>175</v>
      </c>
    </row>
    <row r="51" customFormat="false" ht="15" hidden="false" customHeight="false" outlineLevel="0" collapsed="false">
      <c r="A51" s="7" t="s">
        <v>176</v>
      </c>
      <c r="B51" s="24" t="n">
        <v>3.3</v>
      </c>
      <c r="C51" s="19" t="s">
        <v>170</v>
      </c>
      <c r="D51" s="23" t="s">
        <v>138</v>
      </c>
      <c r="E51" s="7" t="s">
        <v>177</v>
      </c>
    </row>
    <row r="52" customFormat="false" ht="23.85" hidden="false" customHeight="false" outlineLevel="0" collapsed="false">
      <c r="A52" s="5" t="s">
        <v>178</v>
      </c>
      <c r="B52" s="22" t="n">
        <v>5.42</v>
      </c>
      <c r="C52" s="17" t="s">
        <v>150</v>
      </c>
      <c r="D52" s="23" t="s">
        <v>138</v>
      </c>
      <c r="E52" s="5" t="s">
        <v>179</v>
      </c>
    </row>
  </sheetData>
  <mergeCells count="6">
    <mergeCell ref="A1:D1"/>
    <mergeCell ref="A3:E3"/>
    <mergeCell ref="A5:E5"/>
    <mergeCell ref="A18:E18"/>
    <mergeCell ref="A28:E28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42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0" t="s">
        <v>180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3" t="s">
        <v>181</v>
      </c>
      <c r="B3" s="3"/>
      <c r="C3" s="3"/>
      <c r="D3" s="3"/>
      <c r="E3" s="3"/>
      <c r="F3" s="3"/>
      <c r="G3" s="3"/>
    </row>
    <row r="4" customFormat="false" ht="23.85" hidden="false" customHeight="false" outlineLevel="0" collapsed="false">
      <c r="A4" s="8" t="s">
        <v>182</v>
      </c>
      <c r="B4" s="9" t="s">
        <v>183</v>
      </c>
      <c r="C4" s="9" t="s">
        <v>184</v>
      </c>
      <c r="D4" s="9" t="s">
        <v>185</v>
      </c>
      <c r="E4" s="9" t="s">
        <v>186</v>
      </c>
      <c r="F4" s="9" t="s">
        <v>187</v>
      </c>
      <c r="G4" s="9" t="s">
        <v>188</v>
      </c>
    </row>
    <row r="5" customFormat="false" ht="35.05" hidden="false" customHeight="false" outlineLevel="0" collapsed="false">
      <c r="A5" s="19" t="n">
        <v>1</v>
      </c>
      <c r="B5" s="28" t="s">
        <v>189</v>
      </c>
      <c r="C5" s="29" t="n">
        <v>4</v>
      </c>
      <c r="D5" s="29" t="n">
        <v>3</v>
      </c>
      <c r="E5" s="27" t="n">
        <f aca="false">C5*D5</f>
        <v>12</v>
      </c>
      <c r="F5" s="7" t="s">
        <v>190</v>
      </c>
      <c r="G5" s="7" t="s">
        <v>191</v>
      </c>
    </row>
    <row r="6" customFormat="false" ht="23.85" hidden="false" customHeight="false" outlineLevel="0" collapsed="false">
      <c r="A6" s="17" t="n">
        <v>2</v>
      </c>
      <c r="B6" s="30" t="s">
        <v>192</v>
      </c>
      <c r="C6" s="31" t="n">
        <v>3</v>
      </c>
      <c r="D6" s="31" t="n">
        <v>4</v>
      </c>
      <c r="E6" s="27" t="n">
        <f aca="false">C6*D6</f>
        <v>12</v>
      </c>
      <c r="F6" s="5" t="s">
        <v>193</v>
      </c>
      <c r="G6" s="5" t="s">
        <v>194</v>
      </c>
    </row>
    <row r="7" customFormat="false" ht="35.05" hidden="false" customHeight="false" outlineLevel="0" collapsed="false">
      <c r="A7" s="19" t="n">
        <v>3</v>
      </c>
      <c r="B7" s="28" t="s">
        <v>195</v>
      </c>
      <c r="C7" s="29" t="n">
        <v>3</v>
      </c>
      <c r="D7" s="29" t="n">
        <v>4</v>
      </c>
      <c r="E7" s="27" t="n">
        <f aca="false">C7*D7</f>
        <v>12</v>
      </c>
      <c r="F7" s="7" t="s">
        <v>196</v>
      </c>
      <c r="G7" s="7" t="s">
        <v>197</v>
      </c>
    </row>
    <row r="8" customFormat="false" ht="23.85" hidden="false" customHeight="false" outlineLevel="0" collapsed="false">
      <c r="A8" s="17" t="n">
        <v>4</v>
      </c>
      <c r="B8" s="30" t="s">
        <v>198</v>
      </c>
      <c r="C8" s="31" t="n">
        <v>4</v>
      </c>
      <c r="D8" s="31" t="n">
        <v>3</v>
      </c>
      <c r="E8" s="27" t="n">
        <f aca="false">C8*D8</f>
        <v>12</v>
      </c>
      <c r="F8" s="5" t="s">
        <v>199</v>
      </c>
      <c r="G8" s="5" t="s">
        <v>200</v>
      </c>
    </row>
    <row r="9" customFormat="false" ht="35.05" hidden="false" customHeight="false" outlineLevel="0" collapsed="false">
      <c r="A9" s="19" t="n">
        <v>5</v>
      </c>
      <c r="B9" s="28" t="s">
        <v>201</v>
      </c>
      <c r="C9" s="29" t="n">
        <v>2</v>
      </c>
      <c r="D9" s="29" t="n">
        <v>5</v>
      </c>
      <c r="E9" s="27" t="n">
        <f aca="false">C9*D9</f>
        <v>10</v>
      </c>
      <c r="F9" s="7" t="s">
        <v>202</v>
      </c>
      <c r="G9" s="7" t="s">
        <v>203</v>
      </c>
    </row>
    <row r="10" customFormat="false" ht="23.85" hidden="false" customHeight="false" outlineLevel="0" collapsed="false">
      <c r="A10" s="17" t="n">
        <v>6</v>
      </c>
      <c r="B10" s="30" t="s">
        <v>204</v>
      </c>
      <c r="C10" s="31" t="n">
        <v>2</v>
      </c>
      <c r="D10" s="31" t="n">
        <v>4</v>
      </c>
      <c r="E10" s="27" t="n">
        <f aca="false">C10*D10</f>
        <v>8</v>
      </c>
      <c r="F10" s="5" t="s">
        <v>205</v>
      </c>
      <c r="G10" s="5" t="s">
        <v>206</v>
      </c>
    </row>
    <row r="11" customFormat="false" ht="23.85" hidden="false" customHeight="false" outlineLevel="0" collapsed="false">
      <c r="A11" s="19" t="n">
        <v>7</v>
      </c>
      <c r="B11" s="28" t="s">
        <v>207</v>
      </c>
      <c r="C11" s="29" t="n">
        <v>2</v>
      </c>
      <c r="D11" s="29" t="n">
        <v>4</v>
      </c>
      <c r="E11" s="27" t="n">
        <f aca="false">C11*D11</f>
        <v>8</v>
      </c>
      <c r="F11" s="7" t="s">
        <v>208</v>
      </c>
      <c r="G11" s="7" t="s">
        <v>209</v>
      </c>
    </row>
    <row r="12" customFormat="false" ht="23.85" hidden="false" customHeight="false" outlineLevel="0" collapsed="false">
      <c r="A12" s="17" t="n">
        <v>8</v>
      </c>
      <c r="B12" s="30" t="s">
        <v>210</v>
      </c>
      <c r="C12" s="31" t="n">
        <v>4</v>
      </c>
      <c r="D12" s="31" t="n">
        <v>3</v>
      </c>
      <c r="E12" s="27" t="n">
        <f aca="false">C12*D12</f>
        <v>12</v>
      </c>
      <c r="F12" s="5" t="s">
        <v>211</v>
      </c>
      <c r="G12" s="5" t="s">
        <v>212</v>
      </c>
    </row>
    <row r="13" customFormat="false" ht="23.85" hidden="false" customHeight="false" outlineLevel="0" collapsed="false">
      <c r="A13" s="19" t="n">
        <v>9</v>
      </c>
      <c r="B13" s="28" t="s">
        <v>213</v>
      </c>
      <c r="C13" s="29" t="n">
        <v>2</v>
      </c>
      <c r="D13" s="29" t="n">
        <v>2</v>
      </c>
      <c r="E13" s="23" t="n">
        <f aca="false">C13*D13</f>
        <v>4</v>
      </c>
      <c r="F13" s="7" t="s">
        <v>214</v>
      </c>
      <c r="G13" s="7" t="s">
        <v>215</v>
      </c>
    </row>
    <row r="14" customFormat="false" ht="23.85" hidden="false" customHeight="false" outlineLevel="0" collapsed="false">
      <c r="A14" s="17" t="n">
        <v>10</v>
      </c>
      <c r="B14" s="30" t="s">
        <v>216</v>
      </c>
      <c r="C14" s="31" t="n">
        <v>2</v>
      </c>
      <c r="D14" s="31" t="n">
        <v>3</v>
      </c>
      <c r="E14" s="23" t="n">
        <f aca="false">C14*D14</f>
        <v>6</v>
      </c>
      <c r="F14" s="5" t="s">
        <v>217</v>
      </c>
      <c r="G14" s="5" t="s">
        <v>218</v>
      </c>
    </row>
    <row r="15" customFormat="false" ht="23.85" hidden="false" customHeight="false" outlineLevel="0" collapsed="false">
      <c r="A15" s="19" t="n">
        <v>11</v>
      </c>
      <c r="B15" s="28" t="s">
        <v>219</v>
      </c>
      <c r="C15" s="29" t="n">
        <v>3</v>
      </c>
      <c r="D15" s="29" t="n">
        <v>3</v>
      </c>
      <c r="E15" s="27" t="n">
        <f aca="false">C15*D15</f>
        <v>9</v>
      </c>
      <c r="F15" s="7" t="s">
        <v>220</v>
      </c>
      <c r="G15" s="7" t="s">
        <v>221</v>
      </c>
    </row>
    <row r="16" customFormat="false" ht="23.85" hidden="false" customHeight="false" outlineLevel="0" collapsed="false">
      <c r="A16" s="17" t="n">
        <v>12</v>
      </c>
      <c r="B16" s="30" t="s">
        <v>222</v>
      </c>
      <c r="C16" s="31" t="n">
        <v>3</v>
      </c>
      <c r="D16" s="31" t="n">
        <v>3</v>
      </c>
      <c r="E16" s="27" t="n">
        <f aca="false">C16*D16</f>
        <v>9</v>
      </c>
      <c r="F16" s="5" t="s">
        <v>223</v>
      </c>
      <c r="G16" s="5" t="s">
        <v>224</v>
      </c>
    </row>
    <row r="17" customFormat="false" ht="23.85" hidden="false" customHeight="false" outlineLevel="0" collapsed="false">
      <c r="A17" s="19" t="n">
        <v>13</v>
      </c>
      <c r="B17" s="28" t="s">
        <v>225</v>
      </c>
      <c r="C17" s="29" t="n">
        <v>2</v>
      </c>
      <c r="D17" s="29" t="n">
        <v>5</v>
      </c>
      <c r="E17" s="27" t="n">
        <f aca="false">C17*D17</f>
        <v>10</v>
      </c>
      <c r="F17" s="7" t="s">
        <v>226</v>
      </c>
      <c r="G17" s="7" t="s">
        <v>227</v>
      </c>
    </row>
    <row r="18" customFormat="false" ht="23.85" hidden="false" customHeight="false" outlineLevel="0" collapsed="false">
      <c r="A18" s="17" t="n">
        <v>14</v>
      </c>
      <c r="B18" s="30" t="s">
        <v>228</v>
      </c>
      <c r="C18" s="31" t="n">
        <v>2</v>
      </c>
      <c r="D18" s="31" t="n">
        <v>3</v>
      </c>
      <c r="E18" s="23" t="n">
        <f aca="false">C18*D18</f>
        <v>6</v>
      </c>
      <c r="F18" s="5" t="s">
        <v>229</v>
      </c>
      <c r="G18" s="5" t="s">
        <v>230</v>
      </c>
    </row>
    <row r="20" customFormat="false" ht="15" hidden="false" customHeight="false" outlineLevel="0" collapsed="false">
      <c r="A20" s="32" t="s">
        <v>231</v>
      </c>
    </row>
    <row r="21" customFormat="false" ht="15" hidden="false" customHeight="false" outlineLevel="0" collapsed="false">
      <c r="B21" s="33" t="s">
        <v>232</v>
      </c>
    </row>
    <row r="22" customFormat="false" ht="15" hidden="false" customHeight="false" outlineLevel="0" collapsed="false">
      <c r="B22" s="34" t="s">
        <v>233</v>
      </c>
    </row>
    <row r="23" customFormat="false" ht="15" hidden="false" customHeight="false" outlineLevel="0" collapsed="false">
      <c r="B23" s="35" t="s">
        <v>234</v>
      </c>
    </row>
    <row r="24" customFormat="false" ht="15" hidden="false" customHeight="false" outlineLevel="0" collapsed="false">
      <c r="B24" s="36" t="s">
        <v>235</v>
      </c>
    </row>
  </sheetData>
  <mergeCells count="2">
    <mergeCell ref="A1:G1"/>
    <mergeCell ref="A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0" t="s">
        <v>236</v>
      </c>
      <c r="B1" s="10"/>
      <c r="C1" s="10"/>
      <c r="D1" s="10"/>
    </row>
    <row r="3" customFormat="false" ht="15" hidden="false" customHeight="false" outlineLevel="0" collapsed="false">
      <c r="A3" s="3" t="s">
        <v>237</v>
      </c>
      <c r="B3" s="3"/>
      <c r="C3" s="3"/>
      <c r="D3" s="3"/>
    </row>
    <row r="4" customFormat="false" ht="15" hidden="false" customHeight="false" outlineLevel="0" collapsed="false">
      <c r="A4" s="8" t="s">
        <v>66</v>
      </c>
      <c r="B4" s="9" t="s">
        <v>67</v>
      </c>
      <c r="C4" s="9" t="s">
        <v>68</v>
      </c>
      <c r="D4" s="9" t="s">
        <v>69</v>
      </c>
    </row>
    <row r="5" customFormat="false" ht="15" hidden="false" customHeight="true" outlineLevel="0" collapsed="false">
      <c r="A5" s="8" t="s">
        <v>238</v>
      </c>
      <c r="B5" s="8"/>
      <c r="C5" s="8"/>
      <c r="D5" s="8"/>
    </row>
    <row r="6" customFormat="false" ht="15" hidden="false" customHeight="false" outlineLevel="0" collapsed="false">
      <c r="A6" s="7" t="s">
        <v>86</v>
      </c>
      <c r="B6" s="13" t="n">
        <v>1524</v>
      </c>
      <c r="C6" s="13" t="n">
        <v>1332</v>
      </c>
      <c r="D6" s="13" t="n">
        <v>1166</v>
      </c>
    </row>
    <row r="7" customFormat="false" ht="15" hidden="false" customHeight="false" outlineLevel="0" collapsed="false">
      <c r="A7" s="5" t="s">
        <v>239</v>
      </c>
      <c r="B7" s="11" t="n">
        <v>340</v>
      </c>
      <c r="C7" s="11" t="n">
        <v>310</v>
      </c>
      <c r="D7" s="11" t="n">
        <v>285</v>
      </c>
    </row>
    <row r="8" customFormat="false" ht="15" hidden="false" customHeight="false" outlineLevel="0" collapsed="false">
      <c r="A8" s="7" t="s">
        <v>240</v>
      </c>
      <c r="B8" s="13" t="n">
        <v>268</v>
      </c>
      <c r="C8" s="13" t="n">
        <v>240</v>
      </c>
      <c r="D8" s="13" t="n">
        <v>215</v>
      </c>
    </row>
    <row r="9" customFormat="false" ht="15" hidden="false" customHeight="false" outlineLevel="0" collapsed="false">
      <c r="A9" s="5" t="s">
        <v>241</v>
      </c>
      <c r="B9" s="11" t="n">
        <v>52</v>
      </c>
      <c r="C9" s="11" t="n">
        <v>38</v>
      </c>
      <c r="D9" s="11" t="n">
        <v>28</v>
      </c>
    </row>
    <row r="10" customFormat="false" ht="15" hidden="false" customHeight="false" outlineLevel="0" collapsed="false">
      <c r="A10" s="7" t="s">
        <v>242</v>
      </c>
      <c r="B10" s="13" t="n">
        <v>-464</v>
      </c>
      <c r="C10" s="13" t="n">
        <v>-390</v>
      </c>
      <c r="D10" s="13" t="n">
        <v>-320</v>
      </c>
    </row>
    <row r="11" customFormat="false" ht="15" hidden="false" customHeight="false" outlineLevel="0" collapsed="false">
      <c r="A11" s="4" t="s">
        <v>243</v>
      </c>
      <c r="B11" s="11" t="n">
        <v>1720</v>
      </c>
      <c r="C11" s="11" t="n">
        <v>1530</v>
      </c>
      <c r="D11" s="11" t="n">
        <v>1374</v>
      </c>
    </row>
    <row r="13" customFormat="false" ht="15" hidden="false" customHeight="true" outlineLevel="0" collapsed="false">
      <c r="A13" s="8" t="s">
        <v>244</v>
      </c>
      <c r="B13" s="8"/>
      <c r="C13" s="8"/>
      <c r="D13" s="8"/>
    </row>
    <row r="14" customFormat="false" ht="15" hidden="false" customHeight="false" outlineLevel="0" collapsed="false">
      <c r="A14" s="7" t="s">
        <v>245</v>
      </c>
      <c r="B14" s="13" t="n">
        <v>-530</v>
      </c>
      <c r="C14" s="13" t="n">
        <v>-440</v>
      </c>
      <c r="D14" s="13" t="n">
        <v>-375</v>
      </c>
    </row>
    <row r="15" customFormat="false" ht="15" hidden="false" customHeight="false" outlineLevel="0" collapsed="false">
      <c r="A15" s="5" t="s">
        <v>246</v>
      </c>
      <c r="B15" s="11" t="n">
        <v>-2100</v>
      </c>
      <c r="C15" s="11" t="n">
        <v>-1800</v>
      </c>
      <c r="D15" s="11" t="n">
        <v>-1600</v>
      </c>
    </row>
    <row r="16" customFormat="false" ht="15" hidden="false" customHeight="false" outlineLevel="0" collapsed="false">
      <c r="A16" s="7" t="s">
        <v>247</v>
      </c>
      <c r="B16" s="13" t="n">
        <v>1920</v>
      </c>
      <c r="C16" s="13" t="n">
        <v>1650</v>
      </c>
      <c r="D16" s="13" t="n">
        <v>1400</v>
      </c>
    </row>
    <row r="17" customFormat="false" ht="15" hidden="false" customHeight="false" outlineLevel="0" collapsed="false">
      <c r="A17" s="5" t="s">
        <v>248</v>
      </c>
      <c r="B17" s="11" t="n">
        <v>0</v>
      </c>
      <c r="C17" s="11" t="n">
        <v>-85</v>
      </c>
      <c r="D17" s="11" t="n">
        <v>0</v>
      </c>
    </row>
    <row r="18" customFormat="false" ht="15" hidden="false" customHeight="false" outlineLevel="0" collapsed="false">
      <c r="A18" s="6" t="s">
        <v>249</v>
      </c>
      <c r="B18" s="13" t="n">
        <v>-710</v>
      </c>
      <c r="C18" s="13" t="n">
        <v>-675</v>
      </c>
      <c r="D18" s="13" t="n">
        <v>-575</v>
      </c>
    </row>
    <row r="20" customFormat="false" ht="15" hidden="false" customHeight="true" outlineLevel="0" collapsed="false">
      <c r="A20" s="8" t="s">
        <v>250</v>
      </c>
      <c r="B20" s="8"/>
      <c r="C20" s="8"/>
      <c r="D20" s="8"/>
    </row>
    <row r="21" customFormat="false" ht="15" hidden="false" customHeight="false" outlineLevel="0" collapsed="false">
      <c r="A21" s="5" t="s">
        <v>251</v>
      </c>
      <c r="B21" s="11" t="n">
        <v>-425</v>
      </c>
      <c r="C21" s="11" t="n">
        <v>-380</v>
      </c>
      <c r="D21" s="11" t="n">
        <v>-310</v>
      </c>
    </row>
    <row r="22" customFormat="false" ht="15" hidden="false" customHeight="false" outlineLevel="0" collapsed="false">
      <c r="A22" s="7" t="s">
        <v>252</v>
      </c>
      <c r="B22" s="13" t="n">
        <v>-320</v>
      </c>
      <c r="C22" s="13" t="n">
        <v>-280</v>
      </c>
      <c r="D22" s="13" t="n">
        <v>-245</v>
      </c>
    </row>
    <row r="23" customFormat="false" ht="15" hidden="false" customHeight="false" outlineLevel="0" collapsed="false">
      <c r="A23" s="5" t="s">
        <v>253</v>
      </c>
      <c r="B23" s="11" t="n">
        <v>0</v>
      </c>
      <c r="C23" s="11" t="n">
        <v>0</v>
      </c>
      <c r="D23" s="11" t="n">
        <v>-250</v>
      </c>
    </row>
    <row r="24" customFormat="false" ht="15" hidden="false" customHeight="false" outlineLevel="0" collapsed="false">
      <c r="A24" s="7" t="s">
        <v>254</v>
      </c>
      <c r="B24" s="13" t="n">
        <v>0</v>
      </c>
      <c r="C24" s="13" t="n">
        <v>0</v>
      </c>
      <c r="D24" s="13" t="n">
        <v>500</v>
      </c>
    </row>
    <row r="25" customFormat="false" ht="15" hidden="false" customHeight="false" outlineLevel="0" collapsed="false">
      <c r="A25" s="5" t="s">
        <v>255</v>
      </c>
      <c r="B25" s="11" t="n">
        <v>-77</v>
      </c>
      <c r="C25" s="11" t="n">
        <v>-62</v>
      </c>
      <c r="D25" s="11" t="n">
        <v>-48</v>
      </c>
    </row>
    <row r="26" customFormat="false" ht="15" hidden="false" customHeight="false" outlineLevel="0" collapsed="false">
      <c r="A26" s="6" t="s">
        <v>256</v>
      </c>
      <c r="B26" s="13" t="n">
        <v>-822</v>
      </c>
      <c r="C26" s="13" t="n">
        <v>-722</v>
      </c>
      <c r="D26" s="13" t="n">
        <v>-353</v>
      </c>
    </row>
    <row r="28" customFormat="false" ht="15" hidden="false" customHeight="false" outlineLevel="0" collapsed="false">
      <c r="A28" s="6" t="s">
        <v>257</v>
      </c>
      <c r="B28" s="13" t="n">
        <v>188</v>
      </c>
      <c r="C28" s="13" t="n">
        <v>133</v>
      </c>
      <c r="D28" s="13" t="n">
        <v>446</v>
      </c>
    </row>
    <row r="29" customFormat="false" ht="15" hidden="false" customHeight="false" outlineLevel="0" collapsed="false">
      <c r="A29" s="4" t="s">
        <v>258</v>
      </c>
      <c r="B29" s="11" t="n">
        <v>1062</v>
      </c>
      <c r="C29" s="11" t="n">
        <v>929</v>
      </c>
      <c r="D29" s="11" t="n">
        <v>483</v>
      </c>
    </row>
    <row r="30" customFormat="false" ht="15" hidden="false" customHeight="false" outlineLevel="0" collapsed="false">
      <c r="A30" s="6" t="s">
        <v>259</v>
      </c>
      <c r="B30" s="13" t="n">
        <v>1250</v>
      </c>
      <c r="C30" s="13" t="n">
        <v>1062</v>
      </c>
      <c r="D30" s="13" t="n">
        <v>929</v>
      </c>
    </row>
    <row r="32" customFormat="false" ht="15" hidden="false" customHeight="false" outlineLevel="0" collapsed="false">
      <c r="A32" s="3" t="s">
        <v>260</v>
      </c>
      <c r="B32" s="3"/>
      <c r="C32" s="3"/>
      <c r="D32" s="3"/>
    </row>
    <row r="33" customFormat="false" ht="15" hidden="false" customHeight="false" outlineLevel="0" collapsed="false">
      <c r="A33" s="8" t="s">
        <v>261</v>
      </c>
      <c r="B33" s="9" t="s">
        <v>67</v>
      </c>
      <c r="C33" s="9" t="s">
        <v>68</v>
      </c>
      <c r="D33" s="9" t="s">
        <v>69</v>
      </c>
    </row>
    <row r="34" customFormat="false" ht="15" hidden="false" customHeight="false" outlineLevel="0" collapsed="false">
      <c r="A34" s="5" t="s">
        <v>262</v>
      </c>
      <c r="B34" s="11" t="n">
        <v>1720</v>
      </c>
      <c r="C34" s="11" t="n">
        <v>1530</v>
      </c>
      <c r="D34" s="11" t="n">
        <v>1374</v>
      </c>
    </row>
    <row r="35" customFormat="false" ht="15" hidden="false" customHeight="false" outlineLevel="0" collapsed="false">
      <c r="A35" s="7" t="s">
        <v>263</v>
      </c>
      <c r="B35" s="13" t="n">
        <v>-530</v>
      </c>
      <c r="C35" s="13" t="n">
        <v>-440</v>
      </c>
      <c r="D35" s="13" t="n">
        <v>-375</v>
      </c>
    </row>
    <row r="36" customFormat="false" ht="15" hidden="false" customHeight="false" outlineLevel="0" collapsed="false">
      <c r="A36" s="4" t="s">
        <v>264</v>
      </c>
      <c r="B36" s="11" t="n">
        <v>1190</v>
      </c>
      <c r="C36" s="11" t="n">
        <v>1090</v>
      </c>
      <c r="D36" s="11" t="n">
        <v>999</v>
      </c>
    </row>
    <row r="37" customFormat="false" ht="15" hidden="false" customHeight="false" outlineLevel="0" collapsed="false">
      <c r="A37" s="6" t="s">
        <v>265</v>
      </c>
      <c r="B37" s="14" t="n">
        <f aca="false">B36/8547</f>
        <v>0.139230139230139</v>
      </c>
      <c r="C37" s="14" t="n">
        <f aca="false">C36/7932</f>
        <v>0.137418053454362</v>
      </c>
      <c r="D37" s="14" t="n">
        <f aca="false">D36/7355</f>
        <v>0.135825968728756</v>
      </c>
    </row>
  </sheetData>
  <mergeCells count="6">
    <mergeCell ref="A1:D1"/>
    <mergeCell ref="A3:D3"/>
    <mergeCell ref="A5:D5"/>
    <mergeCell ref="A13:D13"/>
    <mergeCell ref="A20:D20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38"/>
  </cols>
  <sheetData>
    <row r="1" customFormat="false" ht="17.35" hidden="false" customHeight="false" outlineLevel="0" collapsed="false">
      <c r="A1" s="10" t="s">
        <v>266</v>
      </c>
      <c r="B1" s="10"/>
      <c r="C1" s="10"/>
      <c r="D1" s="10"/>
      <c r="E1" s="10"/>
    </row>
    <row r="3" customFormat="false" ht="15" hidden="false" customHeight="false" outlineLevel="0" collapsed="false">
      <c r="A3" s="3" t="s">
        <v>267</v>
      </c>
      <c r="B3" s="3"/>
      <c r="C3" s="3"/>
      <c r="D3" s="3"/>
      <c r="E3" s="3"/>
    </row>
    <row r="4" customFormat="false" ht="23.85" hidden="false" customHeight="false" outlineLevel="0" collapsed="false">
      <c r="A4" s="8" t="s">
        <v>268</v>
      </c>
      <c r="B4" s="9" t="s">
        <v>269</v>
      </c>
      <c r="C4" s="9" t="s">
        <v>270</v>
      </c>
      <c r="D4" s="9" t="s">
        <v>271</v>
      </c>
      <c r="E4" s="9" t="s">
        <v>272</v>
      </c>
    </row>
    <row r="5" customFormat="false" ht="15" hidden="false" customHeight="false" outlineLevel="0" collapsed="false">
      <c r="A5" s="30" t="s">
        <v>273</v>
      </c>
      <c r="B5" s="17" t="s">
        <v>274</v>
      </c>
      <c r="C5" s="31" t="n">
        <v>9</v>
      </c>
      <c r="D5" s="37" t="n">
        <f aca="false">B5*C5</f>
        <v>2.25</v>
      </c>
      <c r="E5" s="5" t="s">
        <v>275</v>
      </c>
    </row>
    <row r="6" customFormat="false" ht="15" hidden="false" customHeight="false" outlineLevel="0" collapsed="false">
      <c r="A6" s="28" t="s">
        <v>276</v>
      </c>
      <c r="B6" s="19" t="s">
        <v>277</v>
      </c>
      <c r="C6" s="29" t="n">
        <v>8</v>
      </c>
      <c r="D6" s="38" t="n">
        <f aca="false">B6*C6</f>
        <v>1.6</v>
      </c>
      <c r="E6" s="7" t="s">
        <v>278</v>
      </c>
    </row>
    <row r="7" customFormat="false" ht="15" hidden="false" customHeight="false" outlineLevel="0" collapsed="false">
      <c r="A7" s="30" t="s">
        <v>279</v>
      </c>
      <c r="B7" s="17" t="s">
        <v>280</v>
      </c>
      <c r="C7" s="31" t="n">
        <v>9</v>
      </c>
      <c r="D7" s="37" t="n">
        <f aca="false">B7*C7</f>
        <v>1.35</v>
      </c>
      <c r="E7" s="5" t="s">
        <v>281</v>
      </c>
    </row>
    <row r="8" customFormat="false" ht="15" hidden="false" customHeight="false" outlineLevel="0" collapsed="false">
      <c r="A8" s="28" t="s">
        <v>282</v>
      </c>
      <c r="B8" s="19" t="s">
        <v>283</v>
      </c>
      <c r="C8" s="29" t="n">
        <v>7</v>
      </c>
      <c r="D8" s="38" t="n">
        <f aca="false">B8*C8</f>
        <v>0.7</v>
      </c>
      <c r="E8" s="7" t="s">
        <v>284</v>
      </c>
    </row>
    <row r="9" customFormat="false" ht="15" hidden="false" customHeight="false" outlineLevel="0" collapsed="false">
      <c r="A9" s="30" t="s">
        <v>285</v>
      </c>
      <c r="B9" s="17" t="s">
        <v>283</v>
      </c>
      <c r="C9" s="31" t="n">
        <v>6</v>
      </c>
      <c r="D9" s="37" t="n">
        <f aca="false">B9*C9</f>
        <v>0.6</v>
      </c>
      <c r="E9" s="5" t="s">
        <v>286</v>
      </c>
    </row>
    <row r="10" customFormat="false" ht="15" hidden="false" customHeight="false" outlineLevel="0" collapsed="false">
      <c r="A10" s="28" t="s">
        <v>287</v>
      </c>
      <c r="B10" s="19" t="s">
        <v>283</v>
      </c>
      <c r="C10" s="29" t="n">
        <v>8</v>
      </c>
      <c r="D10" s="38" t="n">
        <f aca="false">B10*C10</f>
        <v>0.8</v>
      </c>
      <c r="E10" s="7" t="s">
        <v>288</v>
      </c>
    </row>
    <row r="11" customFormat="false" ht="15" hidden="false" customHeight="false" outlineLevel="0" collapsed="false">
      <c r="A11" s="30" t="s">
        <v>289</v>
      </c>
      <c r="B11" s="17" t="s">
        <v>290</v>
      </c>
      <c r="C11" s="31" t="n">
        <v>7</v>
      </c>
      <c r="D11" s="37" t="n">
        <f aca="false">B11*C11</f>
        <v>0.35</v>
      </c>
      <c r="E11" s="5" t="s">
        <v>291</v>
      </c>
    </row>
    <row r="12" customFormat="false" ht="23.85" hidden="false" customHeight="false" outlineLevel="0" collapsed="false">
      <c r="A12" s="28" t="s">
        <v>292</v>
      </c>
      <c r="B12" s="19" t="s">
        <v>290</v>
      </c>
      <c r="C12" s="29" t="n">
        <v>7</v>
      </c>
      <c r="D12" s="38" t="n">
        <f aca="false">B12*C12</f>
        <v>0.35</v>
      </c>
      <c r="E12" s="7" t="s">
        <v>293</v>
      </c>
    </row>
    <row r="13" customFormat="false" ht="15" hidden="false" customHeight="false" outlineLevel="0" collapsed="false">
      <c r="A13" s="39" t="s">
        <v>294</v>
      </c>
      <c r="B13" s="40"/>
      <c r="C13" s="40"/>
      <c r="D13" s="41" t="n">
        <f aca="false">SUM(D5:D12)</f>
        <v>8</v>
      </c>
      <c r="E13" s="40"/>
    </row>
    <row r="15" customFormat="false" ht="15" hidden="false" customHeight="false" outlineLevel="0" collapsed="false">
      <c r="A15" s="3" t="s">
        <v>295</v>
      </c>
      <c r="B15" s="3"/>
      <c r="C15" s="3"/>
      <c r="D15" s="3"/>
      <c r="E15" s="3"/>
    </row>
    <row r="16" customFormat="false" ht="15" hidden="false" customHeight="true" outlineLevel="0" collapsed="false">
      <c r="A16" s="42" t="s">
        <v>296</v>
      </c>
      <c r="B16" s="23" t="s">
        <v>297</v>
      </c>
      <c r="C16" s="43" t="s">
        <v>298</v>
      </c>
      <c r="D16" s="43"/>
      <c r="E16" s="43"/>
    </row>
    <row r="17" customFormat="false" ht="15" hidden="false" customHeight="true" outlineLevel="0" collapsed="false">
      <c r="A17" s="42" t="s">
        <v>299</v>
      </c>
      <c r="B17" s="27" t="s">
        <v>300</v>
      </c>
      <c r="C17" s="43" t="s">
        <v>301</v>
      </c>
      <c r="D17" s="43"/>
      <c r="E17" s="43"/>
    </row>
    <row r="18" customFormat="false" ht="15" hidden="false" customHeight="true" outlineLevel="0" collapsed="false">
      <c r="A18" s="42" t="s">
        <v>302</v>
      </c>
      <c r="B18" s="44" t="s">
        <v>303</v>
      </c>
      <c r="C18" s="43" t="s">
        <v>304</v>
      </c>
      <c r="D18" s="43"/>
      <c r="E18" s="43"/>
    </row>
    <row r="19" customFormat="false" ht="15" hidden="false" customHeight="true" outlineLevel="0" collapsed="false">
      <c r="A19" s="42" t="s">
        <v>305</v>
      </c>
      <c r="B19" s="45" t="s">
        <v>306</v>
      </c>
      <c r="C19" s="43" t="s">
        <v>307</v>
      </c>
      <c r="D19" s="43"/>
      <c r="E19" s="43"/>
    </row>
    <row r="20" customFormat="false" ht="15" hidden="false" customHeight="true" outlineLevel="0" collapsed="false">
      <c r="A20" s="42" t="s">
        <v>308</v>
      </c>
      <c r="B20" s="45" t="s">
        <v>309</v>
      </c>
      <c r="C20" s="43" t="s">
        <v>310</v>
      </c>
      <c r="D20" s="43"/>
      <c r="E20" s="43"/>
    </row>
    <row r="23" customFormat="false" ht="45" hidden="false" customHeight="true" outlineLevel="0" collapsed="false">
      <c r="A23" s="46" t="s">
        <v>311</v>
      </c>
      <c r="B23" s="46"/>
      <c r="C23" s="46"/>
      <c r="D23" s="46"/>
      <c r="E23" s="46"/>
    </row>
    <row r="25" customFormat="false" ht="15" hidden="false" customHeight="false" outlineLevel="0" collapsed="false">
      <c r="A25" s="47" t="s">
        <v>312</v>
      </c>
    </row>
    <row r="26" customFormat="false" ht="15" hidden="false" customHeight="false" outlineLevel="0" collapsed="false">
      <c r="A26" s="48" t="s">
        <v>313</v>
      </c>
    </row>
    <row r="27" customFormat="false" ht="15" hidden="false" customHeight="false" outlineLevel="0" collapsed="false">
      <c r="A27" s="48" t="s">
        <v>314</v>
      </c>
    </row>
  </sheetData>
  <mergeCells count="9">
    <mergeCell ref="A1:E1"/>
    <mergeCell ref="A3:E3"/>
    <mergeCell ref="A15:E15"/>
    <mergeCell ref="C16:E16"/>
    <mergeCell ref="C17:E17"/>
    <mergeCell ref="C18:E18"/>
    <mergeCell ref="C19:E19"/>
    <mergeCell ref="C20:E20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2026-06-15T06:09:16Z</dcterms:created>
  <dc:creator>openpyxl</dc:creator>
  <dc:description/>
  <dc:language>en-US</dc:language>
  <cp:lastModifiedBy/>
  <dcterms:modified xsi:type="dcterms:W3CDTF">2026-06-15T06:09:16Z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